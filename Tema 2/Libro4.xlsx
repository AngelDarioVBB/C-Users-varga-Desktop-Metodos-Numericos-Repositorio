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ga\Desktop\Metodos Numericos\Repositorio\Tema 2\"/>
    </mc:Choice>
  </mc:AlternateContent>
  <xr:revisionPtr revIDLastSave="0" documentId="8_{86D1BB99-EB83-4FD2-9B77-5F3CC1586309}" xr6:coauthVersionLast="47" xr6:coauthVersionMax="47" xr10:uidLastSave="{00000000-0000-0000-0000-000000000000}"/>
  <bookViews>
    <workbookView xWindow="-120" yWindow="-120" windowWidth="29040" windowHeight="16440" activeTab="1" xr2:uid="{49C31244-A407-43CB-982B-6FB76ABA3AEA}"/>
  </bookViews>
  <sheets>
    <sheet name="Metodo de biseccion" sheetId="1" r:id="rId1"/>
    <sheet name="Metodo de secan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2" l="1"/>
  <c r="I32" i="1"/>
  <c r="C14" i="2"/>
  <c r="D14" i="2"/>
  <c r="E14" i="2"/>
  <c r="F14" i="2"/>
  <c r="G14" i="2"/>
  <c r="H14" i="2"/>
  <c r="C15" i="2"/>
  <c r="D15" i="2"/>
  <c r="E15" i="2"/>
  <c r="F15" i="2"/>
  <c r="G15" i="2"/>
  <c r="H15" i="2"/>
  <c r="C16" i="2"/>
  <c r="D16" i="2"/>
  <c r="G16" i="2" s="1"/>
  <c r="E16" i="2"/>
  <c r="F16" i="2"/>
  <c r="F13" i="2"/>
  <c r="F12" i="2"/>
  <c r="H21" i="1"/>
  <c r="D12" i="2"/>
  <c r="C12" i="2"/>
  <c r="G6" i="2"/>
  <c r="G6" i="1"/>
  <c r="B22" i="1"/>
  <c r="C22" i="1"/>
  <c r="D22" i="1" s="1"/>
  <c r="E22" i="1"/>
  <c r="F22" i="1"/>
  <c r="G22" i="1"/>
  <c r="C23" i="1"/>
  <c r="F23" i="1"/>
  <c r="D21" i="1"/>
  <c r="D20" i="1"/>
  <c r="C21" i="1"/>
  <c r="F21" i="1" s="1"/>
  <c r="G20" i="1"/>
  <c r="F20" i="1"/>
  <c r="E20" i="1"/>
  <c r="C17" i="2" l="1"/>
  <c r="E17" i="2" s="1"/>
  <c r="D17" i="2"/>
  <c r="H16" i="2"/>
  <c r="G12" i="2"/>
  <c r="C13" i="2" s="1"/>
  <c r="E13" i="2" s="1"/>
  <c r="E12" i="2"/>
  <c r="B23" i="1"/>
  <c r="H22" i="1"/>
  <c r="B21" i="1"/>
  <c r="F17" i="2" l="1"/>
  <c r="G17" i="2"/>
  <c r="D13" i="2"/>
  <c r="G13" i="2"/>
  <c r="E23" i="1"/>
  <c r="G23" i="1" s="1"/>
  <c r="D23" i="1"/>
  <c r="E21" i="1"/>
  <c r="G21" i="1" s="1"/>
  <c r="C18" i="2" l="1"/>
  <c r="E18" i="2" s="1"/>
  <c r="D18" i="2"/>
  <c r="H17" i="2"/>
  <c r="H13" i="2"/>
  <c r="H23" i="1"/>
  <c r="C24" i="1"/>
  <c r="F24" i="1" s="1"/>
  <c r="B24" i="1"/>
  <c r="F18" i="2" l="1"/>
  <c r="G18" i="2" s="1"/>
  <c r="D24" i="1"/>
  <c r="E24" i="1"/>
  <c r="G24" i="1" s="1"/>
  <c r="D19" i="2" l="1"/>
  <c r="C19" i="2"/>
  <c r="E19" i="2" s="1"/>
  <c r="H18" i="2"/>
  <c r="C25" i="1"/>
  <c r="F25" i="1" s="1"/>
  <c r="B25" i="1"/>
  <c r="H24" i="1"/>
  <c r="F19" i="2" l="1"/>
  <c r="G19" i="2" s="1"/>
  <c r="E25" i="1"/>
  <c r="G25" i="1" s="1"/>
  <c r="D25" i="1"/>
  <c r="D20" i="2" l="1"/>
  <c r="C20" i="2"/>
  <c r="E20" i="2" s="1"/>
  <c r="H19" i="2"/>
  <c r="H25" i="1"/>
  <c r="B26" i="1"/>
  <c r="C26" i="1"/>
  <c r="F26" i="1" s="1"/>
  <c r="F20" i="2" l="1"/>
  <c r="G20" i="2"/>
  <c r="D26" i="1"/>
  <c r="E26" i="1"/>
  <c r="G26" i="1" s="1"/>
  <c r="C21" i="2" l="1"/>
  <c r="E21" i="2" s="1"/>
  <c r="D21" i="2"/>
  <c r="H20" i="2"/>
  <c r="B27" i="1"/>
  <c r="C27" i="1"/>
  <c r="F27" i="1" s="1"/>
  <c r="H26" i="1"/>
  <c r="F21" i="2" l="1"/>
  <c r="G21" i="2" s="1"/>
  <c r="E27" i="1"/>
  <c r="G27" i="1" s="1"/>
  <c r="D27" i="1"/>
  <c r="C22" i="2" l="1"/>
  <c r="E22" i="2" s="1"/>
  <c r="D22" i="2"/>
  <c r="H21" i="2"/>
  <c r="H27" i="1"/>
  <c r="B28" i="1"/>
  <c r="C28" i="1"/>
  <c r="F28" i="1" s="1"/>
  <c r="F22" i="2" l="1"/>
  <c r="G22" i="2" s="1"/>
  <c r="E28" i="1"/>
  <c r="G28" i="1" s="1"/>
  <c r="D28" i="1"/>
  <c r="D23" i="2" l="1"/>
  <c r="C23" i="2"/>
  <c r="E23" i="2" s="1"/>
  <c r="H22" i="2"/>
  <c r="H28" i="1"/>
  <c r="B29" i="1"/>
  <c r="C29" i="1"/>
  <c r="F29" i="1" s="1"/>
  <c r="F23" i="2" l="1"/>
  <c r="G23" i="2"/>
  <c r="D29" i="1"/>
  <c r="E29" i="1"/>
  <c r="G29" i="1" s="1"/>
  <c r="C24" i="2" l="1"/>
  <c r="E24" i="2" s="1"/>
  <c r="D24" i="2"/>
  <c r="H23" i="2"/>
  <c r="B30" i="1"/>
  <c r="C30" i="1"/>
  <c r="F30" i="1" s="1"/>
  <c r="H29" i="1"/>
  <c r="F24" i="2" l="1"/>
  <c r="G24" i="2" s="1"/>
  <c r="D30" i="1"/>
  <c r="E30" i="1"/>
  <c r="G30" i="1" s="1"/>
  <c r="C25" i="2" l="1"/>
  <c r="E25" i="2" s="1"/>
  <c r="D25" i="2"/>
  <c r="H24" i="2"/>
  <c r="C31" i="1"/>
  <c r="F31" i="1" s="1"/>
  <c r="B31" i="1"/>
  <c r="H30" i="1"/>
  <c r="F25" i="2" l="1"/>
  <c r="G25" i="2" s="1"/>
  <c r="D31" i="1"/>
  <c r="E31" i="1"/>
  <c r="G31" i="1" s="1"/>
  <c r="C26" i="2" l="1"/>
  <c r="E26" i="2" s="1"/>
  <c r="D26" i="2"/>
  <c r="H25" i="2"/>
  <c r="B32" i="1"/>
  <c r="C32" i="1"/>
  <c r="F32" i="1" s="1"/>
  <c r="H31" i="1"/>
  <c r="F26" i="2" l="1"/>
  <c r="G26" i="2" s="1"/>
  <c r="D32" i="1"/>
  <c r="E32" i="1"/>
  <c r="G32" i="1" s="1"/>
  <c r="D27" i="2" l="1"/>
  <c r="C27" i="2"/>
  <c r="E27" i="2" s="1"/>
  <c r="H26" i="2"/>
  <c r="B33" i="1"/>
  <c r="C33" i="1"/>
  <c r="F33" i="1" s="1"/>
  <c r="H32" i="1"/>
  <c r="F27" i="2" l="1"/>
  <c r="G27" i="2"/>
  <c r="E33" i="1"/>
  <c r="G33" i="1" s="1"/>
  <c r="D33" i="1"/>
  <c r="D28" i="2" l="1"/>
  <c r="C28" i="2"/>
  <c r="E28" i="2" s="1"/>
  <c r="H27" i="2"/>
  <c r="H33" i="1"/>
  <c r="C34" i="1"/>
  <c r="F34" i="1" s="1"/>
  <c r="B34" i="1"/>
  <c r="F28" i="2" l="1"/>
  <c r="G28" i="2"/>
  <c r="D34" i="1"/>
  <c r="E34" i="1"/>
  <c r="G34" i="1" s="1"/>
  <c r="D29" i="2" l="1"/>
  <c r="C29" i="2"/>
  <c r="E29" i="2" s="1"/>
  <c r="H28" i="2"/>
  <c r="C35" i="1"/>
  <c r="F35" i="1" s="1"/>
  <c r="B35" i="1"/>
  <c r="H34" i="1"/>
  <c r="F29" i="2" l="1"/>
  <c r="G29" i="2"/>
  <c r="H29" i="2" s="1"/>
  <c r="D35" i="1"/>
  <c r="E35" i="1"/>
  <c r="G35" i="1" s="1"/>
  <c r="B36" i="1" l="1"/>
  <c r="C36" i="1"/>
  <c r="F36" i="1" s="1"/>
  <c r="H35" i="1"/>
  <c r="D36" i="1" l="1"/>
  <c r="H36" i="1" s="1"/>
  <c r="E36" i="1"/>
  <c r="G36" i="1" s="1"/>
</calcChain>
</file>

<file path=xl/sharedStrings.xml><?xml version="1.0" encoding="utf-8"?>
<sst xmlns="http://schemas.openxmlformats.org/spreadsheetml/2006/main" count="29" uniqueCount="17">
  <si>
    <t>Funcion</t>
  </si>
  <si>
    <t>Tolerancia</t>
  </si>
  <si>
    <t>2 cos(x) -x^2</t>
  </si>
  <si>
    <t>Bolzano = a*b&lt;0</t>
  </si>
  <si>
    <t>Metodo de biseccion</t>
  </si>
  <si>
    <t>Iteración</t>
  </si>
  <si>
    <t>Xa</t>
  </si>
  <si>
    <t>Xb</t>
  </si>
  <si>
    <t>Xr</t>
  </si>
  <si>
    <t>f(Xa)</t>
  </si>
  <si>
    <t>f(Xr)</t>
  </si>
  <si>
    <t>f(Xa)f(Xr)</t>
  </si>
  <si>
    <t>Tolerancia ABS</t>
  </si>
  <si>
    <t>Iteraccion</t>
  </si>
  <si>
    <t>F(Xa)</t>
  </si>
  <si>
    <t>F(Xb)</t>
  </si>
  <si>
    <t>Metodo de Secante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</si>
</sst>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DE59"/>
      </patternFill>
    </fill>
    <fill>
      <patternFill patternType="solid">
        <fgColor theme="9" tint="0.79998168889431442"/>
        <bgColor rgb="FFFFDE59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9" fontId="1" fillId="2" borderId="1" xfId="0" applyNumberFormat="1" applyFont="1" applyFill="1" applyBorder="1"/>
    <xf numFmtId="0" fontId="0" fillId="3" borderId="2" xfId="0" applyFill="1" applyBorder="1"/>
    <xf numFmtId="0" fontId="1" fillId="4" borderId="3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0" borderId="0" xfId="0" applyFill="1" applyBorder="1"/>
    <xf numFmtId="0" fontId="1" fillId="0" borderId="0" xfId="0" applyFont="1" applyFill="1" applyBorder="1"/>
    <xf numFmtId="0" fontId="1" fillId="0" borderId="0" xfId="0" applyFont="1" applyBorder="1"/>
    <xf numFmtId="0" fontId="1" fillId="2" borderId="4" xfId="0" applyFont="1" applyFill="1" applyBorder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1C44-BCAE-47FB-BE1C-810C15DB02F5}">
  <dimension ref="A1:I36"/>
  <sheetViews>
    <sheetView topLeftCell="A6" workbookViewId="0">
      <selection activeCell="F29" sqref="F29"/>
    </sheetView>
  </sheetViews>
  <sheetFormatPr baseColWidth="10" defaultRowHeight="14.25"/>
  <cols>
    <col min="7" max="7" width="12.625" bestFit="1" customWidth="1"/>
    <col min="8" max="8" width="12" customWidth="1"/>
    <col min="9" max="9" width="31.25" customWidth="1"/>
    <col min="10" max="10" width="15.875" customWidth="1"/>
  </cols>
  <sheetData>
    <row r="1" spans="1:8">
      <c r="G1" t="s">
        <v>4</v>
      </c>
    </row>
    <row r="3" spans="1:8">
      <c r="B3" s="9"/>
      <c r="C3" s="9"/>
    </row>
    <row r="4" spans="1:8">
      <c r="B4" s="10" t="s">
        <v>0</v>
      </c>
      <c r="C4" s="10" t="s">
        <v>2</v>
      </c>
    </row>
    <row r="5" spans="1:8">
      <c r="B5" s="1" t="s">
        <v>6</v>
      </c>
      <c r="C5" s="1">
        <v>-2</v>
      </c>
      <c r="G5" t="s">
        <v>3</v>
      </c>
    </row>
    <row r="6" spans="1:8">
      <c r="B6" s="1" t="s">
        <v>7</v>
      </c>
      <c r="C6" s="1">
        <v>2</v>
      </c>
      <c r="G6" t="b">
        <f>C5*C6&lt;0</f>
        <v>1</v>
      </c>
    </row>
    <row r="7" spans="1:8">
      <c r="B7" s="1" t="s">
        <v>1</v>
      </c>
      <c r="C7" s="2">
        <v>0.05</v>
      </c>
    </row>
    <row r="12" spans="1:8">
      <c r="A12" s="7"/>
      <c r="B12" s="8"/>
      <c r="C12" s="8"/>
      <c r="D12" s="8"/>
      <c r="E12" s="8"/>
      <c r="F12" s="8"/>
      <c r="G12" s="8"/>
      <c r="H12" s="8"/>
    </row>
    <row r="19" spans="1:9">
      <c r="A19" s="3" t="s">
        <v>5</v>
      </c>
      <c r="B19" s="4" t="s">
        <v>6</v>
      </c>
      <c r="C19" s="5" t="s">
        <v>7</v>
      </c>
      <c r="D19" s="6" t="s">
        <v>8</v>
      </c>
      <c r="E19" s="5" t="s">
        <v>9</v>
      </c>
      <c r="F19" s="5" t="s">
        <v>10</v>
      </c>
      <c r="G19" s="6" t="s">
        <v>11</v>
      </c>
      <c r="H19" s="6" t="s">
        <v>12</v>
      </c>
    </row>
    <row r="20" spans="1:9">
      <c r="A20">
        <v>1</v>
      </c>
      <c r="B20">
        <v>-2</v>
      </c>
      <c r="C20">
        <v>2</v>
      </c>
      <c r="D20">
        <f>(B20+C20)/2</f>
        <v>0</v>
      </c>
      <c r="E20">
        <f>(2*COS(B20))-(B20*B20)</f>
        <v>-4.8322936730942851</v>
      </c>
      <c r="F20">
        <f>(2*COS(C20))-(C20*C20)</f>
        <v>-4.8322936730942851</v>
      </c>
      <c r="G20">
        <f>E20*F20</f>
        <v>23.351062143027058</v>
      </c>
    </row>
    <row r="21" spans="1:9">
      <c r="A21">
        <v>2</v>
      </c>
      <c r="B21">
        <f>IF(G20&lt;0,B20,D20)</f>
        <v>0</v>
      </c>
      <c r="C21">
        <f>IF(G20&gt;0,C20,D20)</f>
        <v>2</v>
      </c>
      <c r="D21">
        <f>(B21+C21)/2</f>
        <v>1</v>
      </c>
      <c r="E21">
        <f>(2*COS(B21))-(B21*B21)</f>
        <v>2</v>
      </c>
      <c r="F21">
        <f>(2*COS(C21))-(C21*C21)</f>
        <v>-4.8322936730942851</v>
      </c>
      <c r="G21">
        <f>E21*F21</f>
        <v>-9.6645873461885703</v>
      </c>
      <c r="H21" t="e">
        <f>((D20-D21)/D20)*100</f>
        <v>#DIV/0!</v>
      </c>
    </row>
    <row r="22" spans="1:9">
      <c r="A22">
        <v>3</v>
      </c>
      <c r="B22">
        <f t="shared" ref="B22:B36" si="0">IF(G21&lt;0,B21,D21)</f>
        <v>0</v>
      </c>
      <c r="C22">
        <f t="shared" ref="C22:C36" si="1">IF(G21&gt;0,C21,D21)</f>
        <v>1</v>
      </c>
      <c r="D22">
        <f t="shared" ref="D22:D36" si="2">(B22+C22)/2</f>
        <v>0.5</v>
      </c>
      <c r="E22">
        <f t="shared" ref="E22:E36" si="3">(2*COS(B22))-(B22*B22)</f>
        <v>2</v>
      </c>
      <c r="F22">
        <f t="shared" ref="F22:F36" si="4">(2*COS(C22))-(C22*C22)</f>
        <v>8.060461173627953E-2</v>
      </c>
      <c r="G22">
        <f t="shared" ref="G22:G36" si="5">E22*F22</f>
        <v>0.16120922347255906</v>
      </c>
      <c r="H22">
        <f t="shared" ref="H22:H36" si="6">((D21-D22)/D21)*100</f>
        <v>50</v>
      </c>
    </row>
    <row r="23" spans="1:9">
      <c r="A23">
        <v>4</v>
      </c>
      <c r="B23">
        <f t="shared" si="0"/>
        <v>0.5</v>
      </c>
      <c r="C23">
        <f t="shared" si="1"/>
        <v>1</v>
      </c>
      <c r="D23">
        <f t="shared" si="2"/>
        <v>0.75</v>
      </c>
      <c r="E23">
        <f t="shared" si="3"/>
        <v>1.5051651237807455</v>
      </c>
      <c r="F23">
        <f t="shared" si="4"/>
        <v>8.060461173627953E-2</v>
      </c>
      <c r="G23">
        <f t="shared" si="5"/>
        <v>0.12132325040133611</v>
      </c>
      <c r="H23">
        <f t="shared" si="6"/>
        <v>-50</v>
      </c>
    </row>
    <row r="24" spans="1:9">
      <c r="A24">
        <v>5</v>
      </c>
      <c r="B24">
        <f t="shared" si="0"/>
        <v>0.75</v>
      </c>
      <c r="C24">
        <f t="shared" si="1"/>
        <v>1</v>
      </c>
      <c r="D24">
        <f t="shared" si="2"/>
        <v>0.875</v>
      </c>
      <c r="E24">
        <f t="shared" si="3"/>
        <v>0.90087773774764179</v>
      </c>
      <c r="F24">
        <f t="shared" si="4"/>
        <v>8.060461173627953E-2</v>
      </c>
      <c r="G24">
        <f t="shared" si="5"/>
        <v>7.2614900273006516E-2</v>
      </c>
      <c r="H24">
        <f t="shared" si="6"/>
        <v>-16.666666666666664</v>
      </c>
    </row>
    <row r="25" spans="1:9">
      <c r="A25">
        <v>6</v>
      </c>
      <c r="B25">
        <f t="shared" si="0"/>
        <v>0.875</v>
      </c>
      <c r="C25">
        <f t="shared" si="1"/>
        <v>1</v>
      </c>
      <c r="D25">
        <f t="shared" si="2"/>
        <v>0.9375</v>
      </c>
      <c r="E25">
        <f t="shared" si="3"/>
        <v>0.51636871632665016</v>
      </c>
      <c r="F25">
        <f t="shared" si="4"/>
        <v>8.060461173627953E-2</v>
      </c>
      <c r="G25">
        <f t="shared" si="5"/>
        <v>4.16216998922707E-2</v>
      </c>
      <c r="H25">
        <f t="shared" si="6"/>
        <v>-7.1428571428571423</v>
      </c>
    </row>
    <row r="26" spans="1:9">
      <c r="A26">
        <v>7</v>
      </c>
      <c r="B26">
        <f t="shared" si="0"/>
        <v>0.9375</v>
      </c>
      <c r="C26">
        <f t="shared" si="1"/>
        <v>1</v>
      </c>
      <c r="D26">
        <f t="shared" si="2"/>
        <v>0.96875</v>
      </c>
      <c r="E26">
        <f t="shared" si="3"/>
        <v>0.30470390018495497</v>
      </c>
      <c r="F26">
        <f t="shared" si="4"/>
        <v>8.060461173627953E-2</v>
      </c>
      <c r="G26">
        <f t="shared" si="5"/>
        <v>2.4560539568938368E-2</v>
      </c>
      <c r="H26">
        <f t="shared" si="6"/>
        <v>-3.3333333333333335</v>
      </c>
    </row>
    <row r="27" spans="1:9">
      <c r="A27">
        <v>8</v>
      </c>
      <c r="B27">
        <f t="shared" si="0"/>
        <v>0.96875</v>
      </c>
      <c r="C27">
        <f t="shared" si="1"/>
        <v>1</v>
      </c>
      <c r="D27">
        <f t="shared" si="2"/>
        <v>0.984375</v>
      </c>
      <c r="E27">
        <f t="shared" si="3"/>
        <v>0.19418383028661745</v>
      </c>
      <c r="F27">
        <f t="shared" si="4"/>
        <v>8.060461173627953E-2</v>
      </c>
      <c r="G27">
        <f t="shared" si="5"/>
        <v>1.5652112245716398E-2</v>
      </c>
      <c r="H27">
        <f t="shared" si="6"/>
        <v>-1.6129032258064515</v>
      </c>
    </row>
    <row r="28" spans="1:9">
      <c r="A28">
        <v>9</v>
      </c>
      <c r="B28">
        <f t="shared" si="0"/>
        <v>0.984375</v>
      </c>
      <c r="C28">
        <f t="shared" si="1"/>
        <v>1</v>
      </c>
      <c r="D28">
        <f t="shared" si="2"/>
        <v>0.9921875</v>
      </c>
      <c r="E28">
        <f t="shared" si="3"/>
        <v>0.13777346235494425</v>
      </c>
      <c r="F28">
        <f t="shared" si="4"/>
        <v>8.060461173627953E-2</v>
      </c>
      <c r="G28">
        <f t="shared" si="5"/>
        <v>1.1105176440683205E-2</v>
      </c>
      <c r="H28">
        <f t="shared" si="6"/>
        <v>-0.79365079365079361</v>
      </c>
    </row>
    <row r="29" spans="1:9">
      <c r="A29">
        <v>10</v>
      </c>
      <c r="B29">
        <f t="shared" si="0"/>
        <v>0.9921875</v>
      </c>
      <c r="C29">
        <f t="shared" si="1"/>
        <v>1</v>
      </c>
      <c r="D29">
        <f t="shared" si="2"/>
        <v>0.99609375</v>
      </c>
      <c r="E29">
        <f t="shared" si="3"/>
        <v>0.10928344970192061</v>
      </c>
      <c r="F29">
        <f t="shared" si="4"/>
        <v>8.060461173627953E-2</v>
      </c>
      <c r="G29">
        <f t="shared" si="5"/>
        <v>8.8087500324245428E-3</v>
      </c>
      <c r="H29">
        <f t="shared" si="6"/>
        <v>-0.39370078740157477</v>
      </c>
    </row>
    <row r="30" spans="1:9">
      <c r="A30">
        <v>11</v>
      </c>
      <c r="B30">
        <f t="shared" si="0"/>
        <v>0.99609375</v>
      </c>
      <c r="C30">
        <f t="shared" si="1"/>
        <v>1</v>
      </c>
      <c r="D30">
        <f t="shared" si="2"/>
        <v>0.998046875</v>
      </c>
      <c r="E30">
        <f t="shared" si="3"/>
        <v>9.4967583949083112E-2</v>
      </c>
      <c r="F30">
        <f t="shared" si="4"/>
        <v>8.060461173627953E-2</v>
      </c>
      <c r="G30">
        <f t="shared" si="5"/>
        <v>7.6548252317483762E-3</v>
      </c>
      <c r="H30">
        <f t="shared" si="6"/>
        <v>-0.19607843137254902</v>
      </c>
    </row>
    <row r="31" spans="1:9">
      <c r="A31">
        <v>12</v>
      </c>
      <c r="B31">
        <f t="shared" si="0"/>
        <v>0.998046875</v>
      </c>
      <c r="C31">
        <f t="shared" si="1"/>
        <v>1</v>
      </c>
      <c r="D31">
        <f t="shared" si="2"/>
        <v>0.9990234375</v>
      </c>
      <c r="E31">
        <f t="shared" si="3"/>
        <v>8.7791979894530581E-2</v>
      </c>
      <c r="F31">
        <f t="shared" si="4"/>
        <v>8.060461173627953E-2</v>
      </c>
      <c r="G31">
        <f t="shared" si="5"/>
        <v>7.076438452957896E-3</v>
      </c>
      <c r="H31">
        <f t="shared" si="6"/>
        <v>-9.7847358121330719E-2</v>
      </c>
    </row>
    <row r="32" spans="1:9">
      <c r="A32" s="11">
        <v>13</v>
      </c>
      <c r="B32" s="11">
        <f t="shared" si="0"/>
        <v>0.9990234375</v>
      </c>
      <c r="C32" s="11">
        <f t="shared" si="1"/>
        <v>1</v>
      </c>
      <c r="D32" s="11">
        <f t="shared" si="2"/>
        <v>0.99951171875</v>
      </c>
      <c r="E32" s="11">
        <f t="shared" si="3"/>
        <v>8.4199765545547756E-2</v>
      </c>
      <c r="F32" s="12">
        <f t="shared" si="4"/>
        <v>8.060461173627953E-2</v>
      </c>
      <c r="G32" s="11">
        <f t="shared" si="5"/>
        <v>6.7868894100846433E-3</v>
      </c>
      <c r="H32" s="11">
        <f t="shared" si="6"/>
        <v>-4.8875855327468229E-2</v>
      </c>
      <c r="I32" t="str">
        <f>"raiz Xa y Tolencia cumple con el metodo"</f>
        <v>raiz Xa y Tolencia cumple con el metodo</v>
      </c>
    </row>
    <row r="33" spans="1:8">
      <c r="A33">
        <v>14</v>
      </c>
      <c r="B33">
        <f t="shared" si="0"/>
        <v>0.99951171875</v>
      </c>
      <c r="C33">
        <f t="shared" si="1"/>
        <v>1</v>
      </c>
      <c r="D33">
        <f t="shared" si="2"/>
        <v>0.999755859375</v>
      </c>
      <c r="E33">
        <f t="shared" si="3"/>
        <v>8.2402555975543024E-2</v>
      </c>
      <c r="F33">
        <f t="shared" si="4"/>
        <v>8.060461173627953E-2</v>
      </c>
      <c r="G33">
        <f t="shared" si="5"/>
        <v>6.6420260304856866E-3</v>
      </c>
      <c r="H33">
        <f t="shared" si="6"/>
        <v>-2.4425989252564728E-2</v>
      </c>
    </row>
    <row r="34" spans="1:8">
      <c r="A34">
        <v>15</v>
      </c>
      <c r="B34">
        <f t="shared" si="0"/>
        <v>0.999755859375</v>
      </c>
      <c r="C34">
        <f t="shared" si="1"/>
        <v>1</v>
      </c>
      <c r="D34">
        <f t="shared" si="2"/>
        <v>0.9998779296875</v>
      </c>
      <c r="E34">
        <f t="shared" si="3"/>
        <v>8.1503675677326859E-2</v>
      </c>
      <c r="F34">
        <f t="shared" si="4"/>
        <v>8.060461173627953E-2</v>
      </c>
      <c r="G34">
        <f t="shared" si="5"/>
        <v>6.5695721330505811E-3</v>
      </c>
      <c r="H34">
        <f t="shared" si="6"/>
        <v>-1.221001221001221E-2</v>
      </c>
    </row>
    <row r="35" spans="1:8">
      <c r="A35">
        <v>16</v>
      </c>
      <c r="B35">
        <f t="shared" si="0"/>
        <v>0.9998779296875</v>
      </c>
      <c r="C35">
        <f t="shared" si="1"/>
        <v>1</v>
      </c>
      <c r="D35">
        <f t="shared" si="2"/>
        <v>0.99993896484375</v>
      </c>
      <c r="E35">
        <f t="shared" si="3"/>
        <v>8.1054166660626592E-2</v>
      </c>
      <c r="F35">
        <f t="shared" si="4"/>
        <v>8.060461173627953E-2</v>
      </c>
      <c r="G35">
        <f t="shared" si="5"/>
        <v>6.5333396332874988E-3</v>
      </c>
      <c r="H35">
        <f t="shared" si="6"/>
        <v>-6.1042607740202665E-3</v>
      </c>
    </row>
    <row r="36" spans="1:8">
      <c r="A36">
        <v>17</v>
      </c>
      <c r="B36">
        <f t="shared" si="0"/>
        <v>0.99993896484375</v>
      </c>
      <c r="C36">
        <f t="shared" si="1"/>
        <v>1</v>
      </c>
      <c r="D36">
        <f t="shared" si="2"/>
        <v>0.999969482421875</v>
      </c>
      <c r="E36">
        <f t="shared" si="3"/>
        <v>8.0829394936717591E-2</v>
      </c>
      <c r="F36">
        <f t="shared" si="4"/>
        <v>8.060461173627953E-2</v>
      </c>
      <c r="G36">
        <f t="shared" si="5"/>
        <v>6.5152219957525202E-3</v>
      </c>
      <c r="H36">
        <f t="shared" si="6"/>
        <v>-3.0519440883843008E-3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8219-616C-41C5-A8F5-53B9C1D7FB67}">
  <dimension ref="B1:I29"/>
  <sheetViews>
    <sheetView tabSelected="1" workbookViewId="0">
      <selection activeCell="I27" sqref="I27"/>
    </sheetView>
  </sheetViews>
  <sheetFormatPr baseColWidth="10" defaultRowHeight="14.25"/>
  <cols>
    <col min="7" max="7" width="16.75" customWidth="1"/>
    <col min="10" max="10" width="15.375" customWidth="1"/>
  </cols>
  <sheetData>
    <row r="1" spans="2:8">
      <c r="B1" s="10" t="s">
        <v>0</v>
      </c>
      <c r="C1" s="10" t="s">
        <v>2</v>
      </c>
      <c r="G1" t="s">
        <v>16</v>
      </c>
    </row>
    <row r="2" spans="2:8">
      <c r="B2" s="1" t="s">
        <v>6</v>
      </c>
      <c r="C2" s="1">
        <v>-5</v>
      </c>
    </row>
    <row r="3" spans="2:8">
      <c r="B3" s="1" t="s">
        <v>7</v>
      </c>
      <c r="C3" s="1">
        <v>2</v>
      </c>
    </row>
    <row r="4" spans="2:8">
      <c r="B4" s="1" t="s">
        <v>1</v>
      </c>
      <c r="C4" s="2">
        <v>0.05</v>
      </c>
    </row>
    <row r="5" spans="2:8">
      <c r="G5" t="s">
        <v>3</v>
      </c>
    </row>
    <row r="6" spans="2:8">
      <c r="G6" t="b">
        <f>C2*C3&lt;0</f>
        <v>1</v>
      </c>
    </row>
    <row r="11" spans="2:8">
      <c r="B11" s="11" t="s">
        <v>13</v>
      </c>
      <c r="C11" s="11" t="s">
        <v>6</v>
      </c>
      <c r="D11" s="11" t="s">
        <v>7</v>
      </c>
      <c r="E11" s="11" t="s">
        <v>14</v>
      </c>
      <c r="F11" s="11" t="s">
        <v>15</v>
      </c>
      <c r="G11" s="11" t="s">
        <v>8</v>
      </c>
      <c r="H11" s="11" t="s">
        <v>12</v>
      </c>
    </row>
    <row r="12" spans="2:8">
      <c r="B12">
        <v>1</v>
      </c>
      <c r="C12">
        <f>C2</f>
        <v>-5</v>
      </c>
      <c r="D12">
        <f>C3</f>
        <v>2</v>
      </c>
      <c r="E12">
        <f>(2* COS(C12))-(C12*C12)</f>
        <v>-24.432675629073547</v>
      </c>
      <c r="F12">
        <f>(2* COS(D12))-(D12*D12)</f>
        <v>-4.8322936730942851</v>
      </c>
      <c r="G12">
        <f xml:space="preserve"> D12-(F12*(D12-C12))/(F12-E12)</f>
        <v>3.7257855376303559</v>
      </c>
    </row>
    <row r="13" spans="2:8">
      <c r="B13">
        <v>2</v>
      </c>
      <c r="C13">
        <f>IF(G12&lt;0,C12,G12)</f>
        <v>3.7257855376303559</v>
      </c>
      <c r="D13">
        <f>IF(G12&gt;0,D12,G12)</f>
        <v>2</v>
      </c>
      <c r="E13">
        <f>(2* COS(C13))-(C13*C13)</f>
        <v>-15.549792878851175</v>
      </c>
      <c r="F13">
        <f>(2* COS(D13))-(D13*D13)</f>
        <v>-4.8322936730942851</v>
      </c>
      <c r="G13">
        <f xml:space="preserve"> D13-(F13*(D13-C13))/(F13-E13)</f>
        <v>1.2218798084790867</v>
      </c>
      <c r="H13">
        <f>((G12-G13)/G12)*100</f>
        <v>67.204773432659337</v>
      </c>
    </row>
    <row r="14" spans="2:8">
      <c r="B14">
        <v>3</v>
      </c>
      <c r="C14">
        <f t="shared" ref="C14:C29" si="0">IF(G13&lt;0,C13,G13)</f>
        <v>1.2218798084790867</v>
      </c>
      <c r="D14">
        <f t="shared" ref="D14:D29" si="1">IF(G13&gt;0,D13,G13)</f>
        <v>2</v>
      </c>
      <c r="E14">
        <f t="shared" ref="E14:E29" si="2">(2* COS(C14))-(C14*C14)</f>
        <v>-0.80923063985657118</v>
      </c>
      <c r="F14">
        <f t="shared" ref="F14:F29" si="3">(2* COS(D14))-(D14*D14)</f>
        <v>-4.8322936730942851</v>
      </c>
      <c r="G14">
        <f t="shared" ref="G14:G29" si="4" xml:space="preserve"> D14-(F14*(D14-C14))/(F14-E14)</f>
        <v>1.0653625739074402</v>
      </c>
      <c r="H14">
        <f t="shared" ref="H14:H29" si="5">((G13-G14)/G13)*100</f>
        <v>12.809544235489792</v>
      </c>
    </row>
    <row r="15" spans="2:8">
      <c r="B15">
        <v>4</v>
      </c>
      <c r="C15">
        <f t="shared" si="0"/>
        <v>1.0653625739074402</v>
      </c>
      <c r="D15">
        <f t="shared" si="1"/>
        <v>2</v>
      </c>
      <c r="E15">
        <f t="shared" si="2"/>
        <v>-0.16662340537223996</v>
      </c>
      <c r="F15">
        <f t="shared" si="3"/>
        <v>-4.8322936730942851</v>
      </c>
      <c r="G15">
        <f t="shared" si="4"/>
        <v>1.0319842034295106</v>
      </c>
      <c r="H15">
        <f t="shared" si="5"/>
        <v>3.1330526616405736</v>
      </c>
    </row>
    <row r="16" spans="2:8">
      <c r="B16">
        <v>5</v>
      </c>
      <c r="C16">
        <f t="shared" si="0"/>
        <v>1.0319842034295106</v>
      </c>
      <c r="D16">
        <f t="shared" si="1"/>
        <v>2</v>
      </c>
      <c r="E16">
        <f t="shared" si="2"/>
        <v>-3.8757842018361188E-2</v>
      </c>
      <c r="F16">
        <f t="shared" si="3"/>
        <v>-4.8322936730942851</v>
      </c>
      <c r="G16">
        <f t="shared" si="4"/>
        <v>1.0241573706620299</v>
      </c>
      <c r="H16">
        <f t="shared" si="5"/>
        <v>0.75842563689156806</v>
      </c>
    </row>
    <row r="17" spans="2:9">
      <c r="B17">
        <v>6</v>
      </c>
      <c r="C17">
        <f t="shared" si="0"/>
        <v>1.0241573706620299</v>
      </c>
      <c r="D17">
        <f t="shared" si="1"/>
        <v>2</v>
      </c>
      <c r="E17">
        <f t="shared" si="2"/>
        <v>-9.2605004545684988E-3</v>
      </c>
      <c r="F17">
        <f t="shared" si="3"/>
        <v>-4.8322936730942851</v>
      </c>
      <c r="G17">
        <f t="shared" si="4"/>
        <v>1.0222836968163189</v>
      </c>
      <c r="H17">
        <f t="shared" si="5"/>
        <v>0.18294784565187008</v>
      </c>
    </row>
    <row r="18" spans="2:9">
      <c r="B18">
        <v>7</v>
      </c>
      <c r="C18">
        <f t="shared" si="0"/>
        <v>1.0222836968163189</v>
      </c>
      <c r="D18">
        <f t="shared" si="1"/>
        <v>2</v>
      </c>
      <c r="E18">
        <f t="shared" si="2"/>
        <v>-2.2266931381753619E-3</v>
      </c>
      <c r="F18">
        <f t="shared" si="3"/>
        <v>-4.8322936730942851</v>
      </c>
      <c r="G18">
        <f t="shared" si="4"/>
        <v>1.0218329630703034</v>
      </c>
      <c r="H18">
        <f t="shared" si="5"/>
        <v>4.4090867087020577E-2</v>
      </c>
    </row>
    <row r="19" spans="2:9">
      <c r="B19" s="11">
        <v>8</v>
      </c>
      <c r="C19" s="11">
        <f t="shared" si="0"/>
        <v>1.0218329630703034</v>
      </c>
      <c r="D19" s="11">
        <f t="shared" si="1"/>
        <v>2</v>
      </c>
      <c r="E19" s="11">
        <f t="shared" si="2"/>
        <v>-5.3622361699723342E-4</v>
      </c>
      <c r="F19" s="11">
        <f t="shared" si="3"/>
        <v>-4.8322936730942851</v>
      </c>
      <c r="G19" s="12">
        <f t="shared" si="4"/>
        <v>1.0217244070692924</v>
      </c>
      <c r="H19" s="11">
        <f t="shared" si="5"/>
        <v>1.0623654250184694E-2</v>
      </c>
      <c r="I19" t="str">
        <f>"raiz Xa y Tolencia cumple con el metodo"</f>
        <v>raiz Xa y Tolencia cumple con el metodo</v>
      </c>
    </row>
    <row r="20" spans="2:9">
      <c r="B20">
        <v>9</v>
      </c>
      <c r="C20">
        <f t="shared" si="0"/>
        <v>1.0217244070692924</v>
      </c>
      <c r="D20">
        <f t="shared" si="1"/>
        <v>2</v>
      </c>
      <c r="E20">
        <f t="shared" si="2"/>
        <v>-1.2917850506188877E-4</v>
      </c>
      <c r="F20">
        <f t="shared" si="3"/>
        <v>-4.8322936730942851</v>
      </c>
      <c r="G20">
        <f t="shared" si="4"/>
        <v>1.0216982547769242</v>
      </c>
      <c r="H20">
        <f t="shared" si="5"/>
        <v>2.5596229459905217E-3</v>
      </c>
    </row>
    <row r="21" spans="2:9">
      <c r="B21">
        <v>10</v>
      </c>
      <c r="C21">
        <f t="shared" si="0"/>
        <v>1.0216982547769242</v>
      </c>
      <c r="D21">
        <f t="shared" si="1"/>
        <v>2</v>
      </c>
      <c r="E21">
        <f t="shared" si="2"/>
        <v>-3.1122380503401104E-5</v>
      </c>
      <c r="F21">
        <f t="shared" si="3"/>
        <v>-4.8322936730942851</v>
      </c>
      <c r="G21">
        <f t="shared" si="4"/>
        <v>1.0216919539853504</v>
      </c>
      <c r="H21">
        <f t="shared" si="5"/>
        <v>6.166978894562988E-4</v>
      </c>
    </row>
    <row r="22" spans="2:9">
      <c r="B22">
        <v>11</v>
      </c>
      <c r="C22">
        <f t="shared" si="0"/>
        <v>1.0216919539853504</v>
      </c>
      <c r="D22">
        <f t="shared" si="1"/>
        <v>2</v>
      </c>
      <c r="E22">
        <f t="shared" si="2"/>
        <v>-7.4983304176878818E-6</v>
      </c>
      <c r="F22">
        <f t="shared" si="3"/>
        <v>-4.8322936730942851</v>
      </c>
      <c r="G22">
        <f t="shared" si="4"/>
        <v>1.0216904359301868</v>
      </c>
      <c r="H22">
        <f t="shared" si="5"/>
        <v>1.4858247220725672E-4</v>
      </c>
    </row>
    <row r="23" spans="2:9">
      <c r="B23">
        <v>12</v>
      </c>
      <c r="C23">
        <f t="shared" si="0"/>
        <v>1.0216904359301868</v>
      </c>
      <c r="D23">
        <f t="shared" si="1"/>
        <v>2</v>
      </c>
      <c r="E23">
        <f t="shared" si="2"/>
        <v>-1.8065856619564613E-6</v>
      </c>
      <c r="F23">
        <f t="shared" si="3"/>
        <v>-4.8322936730942851</v>
      </c>
      <c r="G23">
        <f t="shared" si="4"/>
        <v>1.0216900701824048</v>
      </c>
      <c r="H23">
        <f t="shared" si="5"/>
        <v>3.5798297527144298E-5</v>
      </c>
    </row>
    <row r="24" spans="2:9">
      <c r="B24">
        <v>13</v>
      </c>
      <c r="C24">
        <f t="shared" si="0"/>
        <v>1.0216900701824048</v>
      </c>
      <c r="D24">
        <f t="shared" si="1"/>
        <v>2</v>
      </c>
      <c r="E24">
        <f t="shared" si="2"/>
        <v>-4.3526433013418853E-7</v>
      </c>
      <c r="F24">
        <f t="shared" si="3"/>
        <v>-4.8322936730942851</v>
      </c>
      <c r="G24">
        <f t="shared" si="4"/>
        <v>1.0216899820620453</v>
      </c>
      <c r="H24">
        <f t="shared" si="5"/>
        <v>8.624959958560875E-6</v>
      </c>
    </row>
    <row r="25" spans="2:9">
      <c r="B25">
        <v>14</v>
      </c>
      <c r="C25">
        <f t="shared" si="0"/>
        <v>1.0216899820620453</v>
      </c>
      <c r="D25">
        <f t="shared" si="1"/>
        <v>2</v>
      </c>
      <c r="E25">
        <f t="shared" si="2"/>
        <v>-1.0486914403529113E-7</v>
      </c>
      <c r="F25">
        <f t="shared" si="3"/>
        <v>-4.8322936730942851</v>
      </c>
      <c r="G25">
        <f t="shared" si="4"/>
        <v>1.0216899608310226</v>
      </c>
      <c r="H25">
        <f t="shared" si="5"/>
        <v>2.078029841774665E-6</v>
      </c>
    </row>
    <row r="26" spans="2:9">
      <c r="B26">
        <v>15</v>
      </c>
      <c r="C26">
        <f t="shared" si="0"/>
        <v>1.0216899608310226</v>
      </c>
      <c r="D26">
        <f t="shared" si="1"/>
        <v>2</v>
      </c>
      <c r="E26">
        <f t="shared" si="2"/>
        <v>-2.5266343905983035E-8</v>
      </c>
      <c r="F26">
        <f t="shared" si="3"/>
        <v>-4.8322936730942851</v>
      </c>
      <c r="G26">
        <f t="shared" si="4"/>
        <v>1.0216899557157877</v>
      </c>
      <c r="H26">
        <f t="shared" si="5"/>
        <v>5.0066410539643233E-7</v>
      </c>
    </row>
    <row r="27" spans="2:9">
      <c r="B27">
        <v>16</v>
      </c>
      <c r="C27">
        <f t="shared" si="0"/>
        <v>1.0216899557157877</v>
      </c>
      <c r="D27">
        <f t="shared" si="1"/>
        <v>2</v>
      </c>
      <c r="E27">
        <f t="shared" si="2"/>
        <v>-6.0874740803740224E-9</v>
      </c>
      <c r="F27">
        <f t="shared" si="3"/>
        <v>-4.8322936730942851</v>
      </c>
      <c r="G27">
        <f t="shared" si="4"/>
        <v>1.0216899544833633</v>
      </c>
      <c r="H27">
        <f t="shared" si="5"/>
        <v>1.2062606447998221E-7</v>
      </c>
    </row>
    <row r="28" spans="2:9">
      <c r="B28">
        <v>17</v>
      </c>
      <c r="C28">
        <f t="shared" si="0"/>
        <v>1.0216899544833633</v>
      </c>
      <c r="D28">
        <f t="shared" si="1"/>
        <v>2</v>
      </c>
      <c r="E28">
        <f t="shared" si="2"/>
        <v>-1.4666683423314453E-9</v>
      </c>
      <c r="F28">
        <f t="shared" si="3"/>
        <v>-4.8322936730942851</v>
      </c>
      <c r="G28">
        <f t="shared" si="4"/>
        <v>1.0216899541864324</v>
      </c>
      <c r="H28">
        <f t="shared" si="5"/>
        <v>2.9062723284089273E-8</v>
      </c>
    </row>
    <row r="29" spans="2:9">
      <c r="B29">
        <v>18</v>
      </c>
      <c r="C29">
        <f t="shared" si="0"/>
        <v>1.0216899541864324</v>
      </c>
      <c r="D29">
        <f t="shared" si="1"/>
        <v>2</v>
      </c>
      <c r="E29">
        <f t="shared" si="2"/>
        <v>-3.5336666925900317E-10</v>
      </c>
      <c r="F29">
        <f t="shared" si="3"/>
        <v>-4.8322936730942851</v>
      </c>
      <c r="G29">
        <f t="shared" si="4"/>
        <v>1.0216899541148927</v>
      </c>
      <c r="H29">
        <f t="shared" si="5"/>
        <v>7.0020912693952129E-9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Metodo de biseccion</vt:lpstr>
      <vt:lpstr>Metodo de secante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Vargas</dc:creator>
  <cp:lastModifiedBy>Dario Vargas</cp:lastModifiedBy>
  <dcterms:created xsi:type="dcterms:W3CDTF">2026-02-24T16:38:01Z</dcterms:created>
  <dcterms:modified xsi:type="dcterms:W3CDTF">2026-02-24T17:45:15Z</dcterms:modified>
</cp:coreProperties>
</file>