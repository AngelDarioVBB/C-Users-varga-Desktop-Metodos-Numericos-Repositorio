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arga\Desktop\Metodos Numericos\Repositorio\Tema 2\"/>
    </mc:Choice>
  </mc:AlternateContent>
  <xr:revisionPtr revIDLastSave="0" documentId="13_ncr:1_{BF277BC8-0BB3-40F7-BD1F-75A8632C49CD}" xr6:coauthVersionLast="47" xr6:coauthVersionMax="47" xr10:uidLastSave="{00000000-0000-0000-0000-000000000000}"/>
  <bookViews>
    <workbookView xWindow="-120" yWindow="-120" windowWidth="29040" windowHeight="16440" firstSheet="13" activeTab="14" xr2:uid="{00000000-000D-0000-FFFF-FFFF00000000}"/>
  </bookViews>
  <sheets>
    <sheet name="Metodo de Newthon" sheetId="1" r:id="rId1"/>
    <sheet name="Newthon ejem(1)" sheetId="2" r:id="rId2"/>
    <sheet name="Newthon ejem(2)" sheetId="3" r:id="rId3"/>
    <sheet name="Newthon ejem(3)" sheetId="6" r:id="rId4"/>
    <sheet name="Newthon ejem(4)" sheetId="7" r:id="rId5"/>
    <sheet name="Newthon ejem(5)" sheetId="8" r:id="rId6"/>
    <sheet name="Metodo de Bisección1" sheetId="4" r:id="rId7"/>
    <sheet name="Metodo de Bisección2" sheetId="9" r:id="rId8"/>
    <sheet name="Metodo de Bisección3" sheetId="10" r:id="rId9"/>
    <sheet name="Metodo de Bisección4" sheetId="11" r:id="rId10"/>
    <sheet name="Metodo de Bisección5" sheetId="12" r:id="rId11"/>
    <sheet name="Metodo de Regla Falsa1" sheetId="5" r:id="rId12"/>
    <sheet name="Metodo de Regla Falsa2" sheetId="13" r:id="rId13"/>
    <sheet name="Metodo de Regla Falsa3" sheetId="14" r:id="rId14"/>
    <sheet name="Metodo de Regla Falsa4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15" l="1"/>
  <c r="D12" i="15"/>
  <c r="E12" i="15"/>
  <c r="F12" i="15"/>
  <c r="G12" i="15"/>
  <c r="H12" i="15" s="1"/>
  <c r="I12" i="15" s="1"/>
  <c r="J12" i="15"/>
  <c r="H10" i="15"/>
  <c r="F10" i="15"/>
  <c r="G10" i="15"/>
  <c r="E10" i="15"/>
  <c r="D10" i="15"/>
  <c r="C10" i="15"/>
  <c r="G22" i="14"/>
  <c r="C13" i="14"/>
  <c r="D13" i="14"/>
  <c r="F13" i="14" s="1"/>
  <c r="G13" i="14" s="1"/>
  <c r="E13" i="14"/>
  <c r="F12" i="14"/>
  <c r="G12" i="14"/>
  <c r="H12" i="14"/>
  <c r="I12" i="14"/>
  <c r="J12" i="14"/>
  <c r="C12" i="14"/>
  <c r="D12" i="14"/>
  <c r="E12" i="14"/>
  <c r="H11" i="14"/>
  <c r="H10" i="14"/>
  <c r="G10" i="14"/>
  <c r="F10" i="14"/>
  <c r="E10" i="14"/>
  <c r="I10" i="14"/>
  <c r="G10" i="13"/>
  <c r="D10" i="14"/>
  <c r="C10" i="14"/>
  <c r="H10" i="13"/>
  <c r="E10" i="13"/>
  <c r="F10" i="13"/>
  <c r="C13" i="5"/>
  <c r="D13" i="5"/>
  <c r="E13" i="5"/>
  <c r="G12" i="5"/>
  <c r="H12" i="5"/>
  <c r="I12" i="5"/>
  <c r="J12" i="5"/>
  <c r="C12" i="5"/>
  <c r="E12" i="5" s="1"/>
  <c r="D12" i="5"/>
  <c r="F12" i="5" s="1"/>
  <c r="G11" i="5"/>
  <c r="G10" i="5"/>
  <c r="D10" i="13"/>
  <c r="C10" i="13"/>
  <c r="I16" i="12"/>
  <c r="F22" i="12"/>
  <c r="E22" i="12"/>
  <c r="E21" i="12"/>
  <c r="F21" i="12"/>
  <c r="C21" i="12"/>
  <c r="B21" i="12"/>
  <c r="D21" i="12" s="1"/>
  <c r="I12" i="4"/>
  <c r="I14" i="9"/>
  <c r="I16" i="10"/>
  <c r="I16" i="11"/>
  <c r="B24" i="11"/>
  <c r="D24" i="11" s="1"/>
  <c r="C24" i="11"/>
  <c r="E24" i="11"/>
  <c r="F24" i="11"/>
  <c r="G24" i="11"/>
  <c r="C25" i="11"/>
  <c r="F25" i="11"/>
  <c r="E23" i="11"/>
  <c r="G23" i="11" s="1"/>
  <c r="F23" i="11"/>
  <c r="H23" i="11"/>
  <c r="B23" i="11"/>
  <c r="C23" i="11"/>
  <c r="D23" i="11"/>
  <c r="F21" i="10"/>
  <c r="F21" i="11"/>
  <c r="E21" i="11"/>
  <c r="C21" i="11"/>
  <c r="B21" i="11"/>
  <c r="B24" i="10"/>
  <c r="C24" i="10"/>
  <c r="D24" i="10"/>
  <c r="E24" i="10"/>
  <c r="F24" i="10"/>
  <c r="G24" i="10"/>
  <c r="H24" i="10"/>
  <c r="B25" i="10"/>
  <c r="C25" i="10"/>
  <c r="D25" i="10"/>
  <c r="E25" i="10"/>
  <c r="F25" i="10"/>
  <c r="G25" i="10"/>
  <c r="H25" i="10"/>
  <c r="B26" i="10"/>
  <c r="D26" i="10" s="1"/>
  <c r="C26" i="10"/>
  <c r="H23" i="10"/>
  <c r="D23" i="10"/>
  <c r="E23" i="10"/>
  <c r="F23" i="10"/>
  <c r="G23" i="10"/>
  <c r="B23" i="10"/>
  <c r="C23" i="10"/>
  <c r="F22" i="10"/>
  <c r="E22" i="10"/>
  <c r="C22" i="10"/>
  <c r="B22" i="10"/>
  <c r="D21" i="10"/>
  <c r="E21" i="10"/>
  <c r="C21" i="10"/>
  <c r="B21" i="10"/>
  <c r="C22" i="9"/>
  <c r="B22" i="9"/>
  <c r="D22" i="9"/>
  <c r="G21" i="9"/>
  <c r="C10" i="5"/>
  <c r="E10" i="5" s="1"/>
  <c r="D10" i="5"/>
  <c r="F10" i="5" s="1"/>
  <c r="H8" i="7"/>
  <c r="F21" i="9"/>
  <c r="E21" i="9"/>
  <c r="D21" i="9"/>
  <c r="C21" i="9"/>
  <c r="B21" i="9"/>
  <c r="D18" i="8"/>
  <c r="E18" i="8"/>
  <c r="F18" i="8"/>
  <c r="G18" i="8"/>
  <c r="H18" i="8" s="1"/>
  <c r="H17" i="8"/>
  <c r="F17" i="8"/>
  <c r="F16" i="8"/>
  <c r="G16" i="8" s="1"/>
  <c r="E16" i="8"/>
  <c r="J20" i="7"/>
  <c r="J19" i="7"/>
  <c r="C16" i="7"/>
  <c r="D16" i="7"/>
  <c r="E16" i="7"/>
  <c r="F16" i="7"/>
  <c r="G16" i="7" s="1"/>
  <c r="C15" i="7"/>
  <c r="G15" i="7"/>
  <c r="E15" i="7"/>
  <c r="E14" i="7"/>
  <c r="K21" i="8"/>
  <c r="K20" i="8"/>
  <c r="D16" i="8"/>
  <c r="C14" i="7"/>
  <c r="H5" i="2"/>
  <c r="H5" i="3"/>
  <c r="B28" i="3"/>
  <c r="B27" i="3"/>
  <c r="G13" i="2"/>
  <c r="G14" i="2"/>
  <c r="G15" i="2"/>
  <c r="G16" i="2"/>
  <c r="G17" i="2"/>
  <c r="G18" i="2"/>
  <c r="C13" i="2"/>
  <c r="D13" i="2"/>
  <c r="E13" i="2"/>
  <c r="F13" i="2"/>
  <c r="C14" i="2"/>
  <c r="D14" i="2"/>
  <c r="E14" i="2"/>
  <c r="F14" i="2"/>
  <c r="C15" i="2"/>
  <c r="D15" i="2"/>
  <c r="E15" i="2"/>
  <c r="F15" i="2"/>
  <c r="C16" i="2"/>
  <c r="D16" i="2"/>
  <c r="E16" i="2"/>
  <c r="F16" i="2"/>
  <c r="C17" i="2" s="1"/>
  <c r="G12" i="2"/>
  <c r="E12" i="2"/>
  <c r="E11" i="2"/>
  <c r="D11" i="2"/>
  <c r="C11" i="2"/>
  <c r="E14" i="6"/>
  <c r="D14" i="6"/>
  <c r="G10" i="1"/>
  <c r="F10" i="1"/>
  <c r="E10" i="1"/>
  <c r="D10" i="1"/>
  <c r="F21" i="4"/>
  <c r="H21" i="4" s="1"/>
  <c r="C21" i="4"/>
  <c r="E21" i="4" s="1"/>
  <c r="B21" i="4"/>
  <c r="D21" i="4" s="1"/>
  <c r="C11" i="3"/>
  <c r="E11" i="3" s="1"/>
  <c r="D11" i="1"/>
  <c r="C13" i="15" l="1"/>
  <c r="E13" i="15" s="1"/>
  <c r="D13" i="15"/>
  <c r="I10" i="15"/>
  <c r="J13" i="14"/>
  <c r="H13" i="14"/>
  <c r="I13" i="14" s="1"/>
  <c r="I10" i="13"/>
  <c r="F13" i="5"/>
  <c r="G13" i="5" s="1"/>
  <c r="H10" i="5"/>
  <c r="I10" i="5" s="1"/>
  <c r="G21" i="12"/>
  <c r="B25" i="11"/>
  <c r="H24" i="11"/>
  <c r="D21" i="11"/>
  <c r="G21" i="11" s="1"/>
  <c r="F26" i="10"/>
  <c r="H26" i="10"/>
  <c r="E26" i="10"/>
  <c r="G26" i="10" s="1"/>
  <c r="G21" i="10"/>
  <c r="H22" i="9"/>
  <c r="F22" i="9"/>
  <c r="E22" i="9"/>
  <c r="G22" i="9" s="1"/>
  <c r="D19" i="8"/>
  <c r="C17" i="7"/>
  <c r="D14" i="7"/>
  <c r="D17" i="8"/>
  <c r="F14" i="6"/>
  <c r="G14" i="6" s="1"/>
  <c r="D15" i="6" s="1"/>
  <c r="E15" i="6" s="1"/>
  <c r="D17" i="2"/>
  <c r="E17" i="2"/>
  <c r="F17" i="2"/>
  <c r="C18" i="2" s="1"/>
  <c r="F11" i="1"/>
  <c r="E11" i="1"/>
  <c r="G11" i="1" s="1"/>
  <c r="G21" i="4"/>
  <c r="D11" i="3"/>
  <c r="F13" i="15" l="1"/>
  <c r="G13" i="15" s="1"/>
  <c r="D11" i="15"/>
  <c r="C11" i="15"/>
  <c r="E11" i="15" s="1"/>
  <c r="C14" i="14"/>
  <c r="E14" i="14" s="1"/>
  <c r="D14" i="14"/>
  <c r="C11" i="13"/>
  <c r="E11" i="13" s="1"/>
  <c r="D11" i="13"/>
  <c r="C11" i="14"/>
  <c r="E11" i="14" s="1"/>
  <c r="D11" i="14"/>
  <c r="H13" i="5"/>
  <c r="I13" i="5" s="1"/>
  <c r="J13" i="5"/>
  <c r="C11" i="5"/>
  <c r="E11" i="5" s="1"/>
  <c r="D11" i="5"/>
  <c r="C22" i="12"/>
  <c r="B22" i="12"/>
  <c r="D25" i="11"/>
  <c r="H25" i="11" s="1"/>
  <c r="E25" i="11"/>
  <c r="G25" i="11" s="1"/>
  <c r="C22" i="11"/>
  <c r="F22" i="11" s="1"/>
  <c r="B22" i="11"/>
  <c r="E22" i="11" s="1"/>
  <c r="B27" i="10"/>
  <c r="C27" i="10"/>
  <c r="F11" i="5"/>
  <c r="B23" i="9"/>
  <c r="C23" i="9"/>
  <c r="E19" i="8"/>
  <c r="F19" i="8"/>
  <c r="G19" i="8" s="1"/>
  <c r="E17" i="8"/>
  <c r="G17" i="8" s="1"/>
  <c r="D17" i="7"/>
  <c r="E17" i="7"/>
  <c r="F17" i="7"/>
  <c r="D18" i="2"/>
  <c r="E18" i="2"/>
  <c r="F18" i="2"/>
  <c r="F11" i="3"/>
  <c r="C12" i="3" s="1"/>
  <c r="D12" i="1"/>
  <c r="H11" i="1"/>
  <c r="B22" i="4"/>
  <c r="C22" i="4"/>
  <c r="E22" i="4" s="1"/>
  <c r="H13" i="15" l="1"/>
  <c r="I13" i="15" s="1"/>
  <c r="J13" i="15"/>
  <c r="F11" i="15"/>
  <c r="G11" i="15" s="1"/>
  <c r="H11" i="15" s="1"/>
  <c r="F14" i="14"/>
  <c r="G14" i="14" s="1"/>
  <c r="F11" i="14"/>
  <c r="G11" i="14"/>
  <c r="F11" i="13"/>
  <c r="G11" i="13" s="1"/>
  <c r="H11" i="13" s="1"/>
  <c r="C14" i="5"/>
  <c r="E14" i="5" s="1"/>
  <c r="D14" i="5"/>
  <c r="J11" i="5"/>
  <c r="D22" i="12"/>
  <c r="B26" i="11"/>
  <c r="C26" i="11"/>
  <c r="F26" i="11" s="1"/>
  <c r="D22" i="11"/>
  <c r="D27" i="10"/>
  <c r="E27" i="10"/>
  <c r="D22" i="10"/>
  <c r="H11" i="5"/>
  <c r="I11" i="5" s="1"/>
  <c r="D23" i="9"/>
  <c r="E23" i="9"/>
  <c r="H19" i="8"/>
  <c r="D20" i="8"/>
  <c r="G17" i="7"/>
  <c r="C18" i="7"/>
  <c r="E12" i="3"/>
  <c r="D12" i="3"/>
  <c r="F12" i="3" s="1"/>
  <c r="D22" i="4"/>
  <c r="G22" i="4" s="1"/>
  <c r="F22" i="4"/>
  <c r="H22" i="4" s="1"/>
  <c r="F12" i="1"/>
  <c r="G12" i="1" s="1"/>
  <c r="E12" i="1"/>
  <c r="C14" i="15" l="1"/>
  <c r="E14" i="15" s="1"/>
  <c r="D14" i="15"/>
  <c r="J11" i="15"/>
  <c r="I11" i="15"/>
  <c r="H14" i="14"/>
  <c r="I14" i="14" s="1"/>
  <c r="J14" i="14"/>
  <c r="J11" i="14"/>
  <c r="I11" i="14"/>
  <c r="F14" i="5"/>
  <c r="G14" i="5"/>
  <c r="J11" i="13"/>
  <c r="I11" i="13"/>
  <c r="H22" i="12"/>
  <c r="G22" i="12"/>
  <c r="D26" i="11"/>
  <c r="H26" i="11" s="1"/>
  <c r="E26" i="11"/>
  <c r="G26" i="11" s="1"/>
  <c r="G22" i="11"/>
  <c r="H22" i="11"/>
  <c r="F27" i="10"/>
  <c r="G27" i="10" s="1"/>
  <c r="H27" i="10"/>
  <c r="H22" i="10"/>
  <c r="G22" i="10"/>
  <c r="H23" i="9"/>
  <c r="F23" i="9"/>
  <c r="G23" i="9" s="1"/>
  <c r="E20" i="8"/>
  <c r="G20" i="8" s="1"/>
  <c r="F20" i="8"/>
  <c r="D18" i="7"/>
  <c r="E18" i="7"/>
  <c r="F18" i="7"/>
  <c r="B28" i="2"/>
  <c r="G12" i="3"/>
  <c r="C13" i="3"/>
  <c r="D13" i="1"/>
  <c r="H12" i="1"/>
  <c r="C23" i="4"/>
  <c r="E23" i="4" s="1"/>
  <c r="B23" i="4"/>
  <c r="F14" i="15" l="1"/>
  <c r="G14" i="15" s="1"/>
  <c r="C15" i="14"/>
  <c r="E15" i="14" s="1"/>
  <c r="D15" i="14"/>
  <c r="C12" i="13"/>
  <c r="E12" i="13" s="1"/>
  <c r="D12" i="13"/>
  <c r="F12" i="13" s="1"/>
  <c r="G12" i="13" s="1"/>
  <c r="H14" i="5"/>
  <c r="I14" i="5" s="1"/>
  <c r="J14" i="5"/>
  <c r="C23" i="12"/>
  <c r="B23" i="12"/>
  <c r="C27" i="11"/>
  <c r="F27" i="11" s="1"/>
  <c r="B27" i="11"/>
  <c r="B28" i="10"/>
  <c r="C28" i="10"/>
  <c r="B24" i="9"/>
  <c r="C24" i="9"/>
  <c r="D21" i="8"/>
  <c r="H20" i="8"/>
  <c r="G18" i="7"/>
  <c r="C19" i="7"/>
  <c r="B27" i="2"/>
  <c r="D13" i="3"/>
  <c r="F13" i="3" s="1"/>
  <c r="E13" i="3"/>
  <c r="D23" i="4"/>
  <c r="G23" i="4" s="1"/>
  <c r="F23" i="4"/>
  <c r="H23" i="4" s="1"/>
  <c r="F13" i="1"/>
  <c r="E13" i="1"/>
  <c r="G13" i="1" s="1"/>
  <c r="J14" i="15" l="1"/>
  <c r="H14" i="15"/>
  <c r="I14" i="15" s="1"/>
  <c r="F15" i="14"/>
  <c r="G15" i="14" s="1"/>
  <c r="J12" i="13"/>
  <c r="H12" i="13"/>
  <c r="I12" i="13" s="1"/>
  <c r="C15" i="5"/>
  <c r="E15" i="5" s="1"/>
  <c r="D15" i="5"/>
  <c r="D23" i="12"/>
  <c r="E23" i="12"/>
  <c r="D27" i="11"/>
  <c r="H27" i="11" s="1"/>
  <c r="E27" i="11"/>
  <c r="G27" i="11" s="1"/>
  <c r="D28" i="10"/>
  <c r="E28" i="10"/>
  <c r="D24" i="9"/>
  <c r="E24" i="9"/>
  <c r="E21" i="8"/>
  <c r="G21" i="8" s="1"/>
  <c r="F21" i="8"/>
  <c r="D19" i="7"/>
  <c r="F19" i="7" s="1"/>
  <c r="E19" i="7"/>
  <c r="G13" i="3"/>
  <c r="C14" i="3"/>
  <c r="D14" i="1"/>
  <c r="H13" i="1"/>
  <c r="C24" i="4"/>
  <c r="E24" i="4" s="1"/>
  <c r="B24" i="4"/>
  <c r="C15" i="15" l="1"/>
  <c r="E15" i="15" s="1"/>
  <c r="D15" i="15"/>
  <c r="H15" i="14"/>
  <c r="I15" i="14" s="1"/>
  <c r="J15" i="14"/>
  <c r="C13" i="13"/>
  <c r="E13" i="13" s="1"/>
  <c r="D13" i="13"/>
  <c r="F15" i="5"/>
  <c r="G15" i="5"/>
  <c r="F23" i="12"/>
  <c r="G23" i="12" s="1"/>
  <c r="H23" i="12"/>
  <c r="B28" i="11"/>
  <c r="C28" i="11"/>
  <c r="F28" i="11" s="1"/>
  <c r="F28" i="10"/>
  <c r="H28" i="10"/>
  <c r="G28" i="10"/>
  <c r="H24" i="9"/>
  <c r="F24" i="9"/>
  <c r="G24" i="9" s="1"/>
  <c r="H21" i="8"/>
  <c r="D22" i="8"/>
  <c r="G19" i="7"/>
  <c r="C20" i="7"/>
  <c r="D14" i="3"/>
  <c r="F14" i="3" s="1"/>
  <c r="E14" i="3"/>
  <c r="D24" i="4"/>
  <c r="G24" i="4" s="1"/>
  <c r="F24" i="4"/>
  <c r="H24" i="4" s="1"/>
  <c r="F14" i="1"/>
  <c r="E14" i="1"/>
  <c r="G14" i="1"/>
  <c r="F15" i="15" l="1"/>
  <c r="G15" i="15" s="1"/>
  <c r="D16" i="14"/>
  <c r="C16" i="14"/>
  <c r="E16" i="14" s="1"/>
  <c r="F13" i="13"/>
  <c r="G13" i="13"/>
  <c r="H15" i="5"/>
  <c r="I15" i="5" s="1"/>
  <c r="J15" i="5"/>
  <c r="B24" i="12"/>
  <c r="C24" i="12"/>
  <c r="D28" i="11"/>
  <c r="H28" i="11" s="1"/>
  <c r="E28" i="11"/>
  <c r="G28" i="11" s="1"/>
  <c r="B29" i="10"/>
  <c r="C29" i="10"/>
  <c r="C25" i="9"/>
  <c r="B25" i="9"/>
  <c r="E22" i="8"/>
  <c r="F22" i="8"/>
  <c r="G22" i="8" s="1"/>
  <c r="D20" i="7"/>
  <c r="E20" i="7"/>
  <c r="F20" i="7" s="1"/>
  <c r="C15" i="3"/>
  <c r="G14" i="3"/>
  <c r="H14" i="1"/>
  <c r="D15" i="1"/>
  <c r="C25" i="4"/>
  <c r="E25" i="4" s="1"/>
  <c r="B25" i="4"/>
  <c r="H15" i="15" l="1"/>
  <c r="I15" i="15" s="1"/>
  <c r="J15" i="15"/>
  <c r="F16" i="14"/>
  <c r="G16" i="14"/>
  <c r="J13" i="13"/>
  <c r="H13" i="13"/>
  <c r="I13" i="13" s="1"/>
  <c r="C16" i="5"/>
  <c r="E16" i="5" s="1"/>
  <c r="D16" i="5"/>
  <c r="D24" i="12"/>
  <c r="E24" i="12"/>
  <c r="B29" i="11"/>
  <c r="C29" i="11"/>
  <c r="F29" i="11" s="1"/>
  <c r="D29" i="10"/>
  <c r="E29" i="10"/>
  <c r="D25" i="9"/>
  <c r="E25" i="9"/>
  <c r="D23" i="8"/>
  <c r="H22" i="8"/>
  <c r="G20" i="7"/>
  <c r="C21" i="7"/>
  <c r="D15" i="3"/>
  <c r="F15" i="3" s="1"/>
  <c r="E15" i="3"/>
  <c r="F25" i="4"/>
  <c r="H25" i="4" s="1"/>
  <c r="D25" i="4"/>
  <c r="G25" i="4" s="1"/>
  <c r="E15" i="1"/>
  <c r="G15" i="1" s="1"/>
  <c r="F15" i="1"/>
  <c r="C16" i="15" l="1"/>
  <c r="E16" i="15" s="1"/>
  <c r="D16" i="15"/>
  <c r="H16" i="14"/>
  <c r="I16" i="14" s="1"/>
  <c r="J16" i="14"/>
  <c r="D14" i="13"/>
  <c r="C14" i="13"/>
  <c r="E14" i="13" s="1"/>
  <c r="F16" i="5"/>
  <c r="G16" i="5"/>
  <c r="F24" i="12"/>
  <c r="G24" i="12" s="1"/>
  <c r="H24" i="12"/>
  <c r="D29" i="11"/>
  <c r="H29" i="11" s="1"/>
  <c r="E29" i="11"/>
  <c r="G29" i="11" s="1"/>
  <c r="F29" i="10"/>
  <c r="G29" i="10" s="1"/>
  <c r="H29" i="10"/>
  <c r="H25" i="9"/>
  <c r="F25" i="9"/>
  <c r="G25" i="9" s="1"/>
  <c r="E23" i="8"/>
  <c r="F23" i="8"/>
  <c r="G23" i="8" s="1"/>
  <c r="D21" i="7"/>
  <c r="F21" i="7" s="1"/>
  <c r="E21" i="7"/>
  <c r="G15" i="3"/>
  <c r="C16" i="3"/>
  <c r="H15" i="1"/>
  <c r="D16" i="1"/>
  <c r="C26" i="4"/>
  <c r="E26" i="4" s="1"/>
  <c r="B26" i="4"/>
  <c r="F16" i="15" l="1"/>
  <c r="G16" i="15"/>
  <c r="C17" i="14"/>
  <c r="E17" i="14" s="1"/>
  <c r="D17" i="14"/>
  <c r="F14" i="13"/>
  <c r="G14" i="13" s="1"/>
  <c r="H16" i="5"/>
  <c r="I16" i="5" s="1"/>
  <c r="J16" i="5"/>
  <c r="B25" i="12"/>
  <c r="C25" i="12"/>
  <c r="B30" i="11"/>
  <c r="C30" i="11"/>
  <c r="F30" i="11" s="1"/>
  <c r="B30" i="10"/>
  <c r="C30" i="10"/>
  <c r="B26" i="9"/>
  <c r="C26" i="9"/>
  <c r="H23" i="8"/>
  <c r="D24" i="8"/>
  <c r="G21" i="7"/>
  <c r="C22" i="7"/>
  <c r="I10" i="8"/>
  <c r="D16" i="3"/>
  <c r="E16" i="3"/>
  <c r="F16" i="3" s="1"/>
  <c r="F26" i="4"/>
  <c r="H26" i="4" s="1"/>
  <c r="D26" i="4"/>
  <c r="G26" i="4" s="1"/>
  <c r="F16" i="1"/>
  <c r="I4" i="1"/>
  <c r="E16" i="1"/>
  <c r="G16" i="1" s="1"/>
  <c r="J16" i="15" l="1"/>
  <c r="H16" i="15"/>
  <c r="I16" i="15" s="1"/>
  <c r="F17" i="14"/>
  <c r="G17" i="14"/>
  <c r="J14" i="13"/>
  <c r="H14" i="13"/>
  <c r="I14" i="13" s="1"/>
  <c r="C17" i="5"/>
  <c r="E17" i="5" s="1"/>
  <c r="D17" i="5"/>
  <c r="D25" i="12"/>
  <c r="E25" i="12"/>
  <c r="E30" i="11"/>
  <c r="G30" i="11" s="1"/>
  <c r="D30" i="11"/>
  <c r="H30" i="11" s="1"/>
  <c r="D30" i="10"/>
  <c r="E30" i="10"/>
  <c r="D26" i="9"/>
  <c r="E26" i="9"/>
  <c r="F24" i="8"/>
  <c r="E24" i="8"/>
  <c r="G24" i="8" s="1"/>
  <c r="E22" i="7"/>
  <c r="D22" i="7"/>
  <c r="F22" i="7" s="1"/>
  <c r="G16" i="3"/>
  <c r="C17" i="3"/>
  <c r="D17" i="1"/>
  <c r="H16" i="1"/>
  <c r="C17" i="15" l="1"/>
  <c r="E17" i="15" s="1"/>
  <c r="D17" i="15"/>
  <c r="H17" i="14"/>
  <c r="I17" i="14" s="1"/>
  <c r="J17" i="14"/>
  <c r="D15" i="13"/>
  <c r="C15" i="13"/>
  <c r="E15" i="13" s="1"/>
  <c r="F17" i="5"/>
  <c r="G17" i="5"/>
  <c r="H25" i="12"/>
  <c r="F25" i="12"/>
  <c r="G25" i="12" s="1"/>
  <c r="B31" i="11"/>
  <c r="C31" i="11"/>
  <c r="F31" i="11" s="1"/>
  <c r="H30" i="10"/>
  <c r="F30" i="10"/>
  <c r="G30" i="10" s="1"/>
  <c r="F26" i="9"/>
  <c r="G26" i="9" s="1"/>
  <c r="H26" i="9"/>
  <c r="H24" i="8"/>
  <c r="D25" i="8"/>
  <c r="G22" i="7"/>
  <c r="C23" i="7"/>
  <c r="D17" i="3"/>
  <c r="F17" i="3" s="1"/>
  <c r="E17" i="3"/>
  <c r="F17" i="1"/>
  <c r="E17" i="1"/>
  <c r="G17" i="1"/>
  <c r="H17" i="1" s="1"/>
  <c r="F17" i="15" l="1"/>
  <c r="G17" i="15"/>
  <c r="C18" i="14"/>
  <c r="E18" i="14" s="1"/>
  <c r="D18" i="14"/>
  <c r="F15" i="13"/>
  <c r="G15" i="13"/>
  <c r="H17" i="5"/>
  <c r="I17" i="5" s="1"/>
  <c r="J17" i="5"/>
  <c r="C26" i="12"/>
  <c r="B26" i="12"/>
  <c r="E31" i="11"/>
  <c r="G31" i="11" s="1"/>
  <c r="D31" i="11"/>
  <c r="H31" i="11" s="1"/>
  <c r="B31" i="10"/>
  <c r="C31" i="10"/>
  <c r="B27" i="9"/>
  <c r="C27" i="9"/>
  <c r="E25" i="8"/>
  <c r="G25" i="8" s="1"/>
  <c r="F25" i="8"/>
  <c r="D23" i="7"/>
  <c r="E23" i="7"/>
  <c r="F23" i="7"/>
  <c r="C18" i="3"/>
  <c r="G17" i="3"/>
  <c r="J17" i="15" l="1"/>
  <c r="H17" i="15"/>
  <c r="I17" i="15" s="1"/>
  <c r="F18" i="14"/>
  <c r="G18" i="14"/>
  <c r="H15" i="13"/>
  <c r="I15" i="13" s="1"/>
  <c r="J15" i="13"/>
  <c r="C18" i="5"/>
  <c r="E18" i="5" s="1"/>
  <c r="D18" i="5"/>
  <c r="D26" i="12"/>
  <c r="E26" i="12"/>
  <c r="B32" i="11"/>
  <c r="C32" i="11"/>
  <c r="F32" i="11" s="1"/>
  <c r="D31" i="10"/>
  <c r="E31" i="10"/>
  <c r="D27" i="9"/>
  <c r="E27" i="9"/>
  <c r="H25" i="8"/>
  <c r="D26" i="8"/>
  <c r="G23" i="7"/>
  <c r="C24" i="7"/>
  <c r="D18" i="3"/>
  <c r="E18" i="3"/>
  <c r="F18" i="3" s="1"/>
  <c r="F15" i="6"/>
  <c r="G15" i="6" s="1"/>
  <c r="F11" i="2"/>
  <c r="C12" i="2"/>
  <c r="D12" i="2"/>
  <c r="C18" i="15" l="1"/>
  <c r="E18" i="15" s="1"/>
  <c r="D18" i="15"/>
  <c r="H18" i="14"/>
  <c r="I18" i="14" s="1"/>
  <c r="J18" i="14"/>
  <c r="C16" i="13"/>
  <c r="E16" i="13" s="1"/>
  <c r="D16" i="13"/>
  <c r="F18" i="5"/>
  <c r="G18" i="5" s="1"/>
  <c r="F26" i="12"/>
  <c r="G26" i="12" s="1"/>
  <c r="H26" i="12"/>
  <c r="D32" i="11"/>
  <c r="H32" i="11" s="1"/>
  <c r="E32" i="11"/>
  <c r="G32" i="11" s="1"/>
  <c r="F31" i="10"/>
  <c r="G31" i="10" s="1"/>
  <c r="H31" i="10"/>
  <c r="F27" i="9"/>
  <c r="G27" i="9" s="1"/>
  <c r="H27" i="9"/>
  <c r="E26" i="8"/>
  <c r="F26" i="8"/>
  <c r="G26" i="8"/>
  <c r="E24" i="7"/>
  <c r="D24" i="7"/>
  <c r="F24" i="7" s="1"/>
  <c r="H15" i="6"/>
  <c r="D16" i="6"/>
  <c r="G18" i="3"/>
  <c r="C19" i="3"/>
  <c r="F12" i="2"/>
  <c r="F18" i="15" l="1"/>
  <c r="G18" i="15"/>
  <c r="C19" i="14"/>
  <c r="E19" i="14" s="1"/>
  <c r="D19" i="14"/>
  <c r="F16" i="13"/>
  <c r="G16" i="13"/>
  <c r="H18" i="5"/>
  <c r="I18" i="5" s="1"/>
  <c r="J18" i="5"/>
  <c r="B27" i="12"/>
  <c r="C27" i="12"/>
  <c r="C33" i="11"/>
  <c r="F33" i="11" s="1"/>
  <c r="B33" i="11"/>
  <c r="B28" i="9"/>
  <c r="C28" i="9"/>
  <c r="D27" i="8"/>
  <c r="H26" i="8"/>
  <c r="G24" i="7"/>
  <c r="C25" i="7"/>
  <c r="E16" i="6"/>
  <c r="F16" i="6"/>
  <c r="E19" i="3"/>
  <c r="D19" i="3"/>
  <c r="F19" i="3" s="1"/>
  <c r="J18" i="15" l="1"/>
  <c r="H18" i="15"/>
  <c r="I18" i="15" s="1"/>
  <c r="F19" i="14"/>
  <c r="G19" i="14" s="1"/>
  <c r="H16" i="13"/>
  <c r="I16" i="13" s="1"/>
  <c r="J16" i="13"/>
  <c r="C19" i="5"/>
  <c r="E19" i="5" s="1"/>
  <c r="D19" i="5"/>
  <c r="D27" i="12"/>
  <c r="E27" i="12"/>
  <c r="D33" i="11"/>
  <c r="H33" i="11" s="1"/>
  <c r="E33" i="11"/>
  <c r="G33" i="11" s="1"/>
  <c r="D28" i="9"/>
  <c r="E28" i="9"/>
  <c r="E27" i="8"/>
  <c r="G27" i="8" s="1"/>
  <c r="F27" i="8"/>
  <c r="D25" i="7"/>
  <c r="F25" i="7" s="1"/>
  <c r="E25" i="7"/>
  <c r="G16" i="6"/>
  <c r="D17" i="6" s="1"/>
  <c r="H16" i="6"/>
  <c r="G19" i="3"/>
  <c r="C20" i="3"/>
  <c r="C19" i="15" l="1"/>
  <c r="E19" i="15" s="1"/>
  <c r="D19" i="15"/>
  <c r="H19" i="14"/>
  <c r="I19" i="14" s="1"/>
  <c r="J19" i="14"/>
  <c r="C17" i="13"/>
  <c r="E17" i="13" s="1"/>
  <c r="D17" i="13"/>
  <c r="F19" i="5"/>
  <c r="G19" i="5"/>
  <c r="F27" i="12"/>
  <c r="G27" i="12" s="1"/>
  <c r="H27" i="12"/>
  <c r="F28" i="9"/>
  <c r="G28" i="9" s="1"/>
  <c r="H28" i="9"/>
  <c r="H27" i="8"/>
  <c r="D28" i="8"/>
  <c r="G25" i="7"/>
  <c r="C26" i="7"/>
  <c r="E17" i="6"/>
  <c r="F17" i="6"/>
  <c r="G17" i="6" s="1"/>
  <c r="D20" i="3"/>
  <c r="F20" i="3" s="1"/>
  <c r="E20" i="3"/>
  <c r="F19" i="15" l="1"/>
  <c r="G19" i="15" s="1"/>
  <c r="C20" i="14"/>
  <c r="E20" i="14" s="1"/>
  <c r="D20" i="14"/>
  <c r="F17" i="13"/>
  <c r="G17" i="13"/>
  <c r="H19" i="5"/>
  <c r="I19" i="5" s="1"/>
  <c r="J19" i="5"/>
  <c r="C28" i="12"/>
  <c r="B28" i="12"/>
  <c r="B29" i="9"/>
  <c r="C29" i="9"/>
  <c r="E28" i="8"/>
  <c r="F28" i="8"/>
  <c r="G28" i="8"/>
  <c r="D26" i="7"/>
  <c r="E26" i="7"/>
  <c r="F26" i="7"/>
  <c r="H17" i="6"/>
  <c r="D18" i="6"/>
  <c r="G20" i="3"/>
  <c r="C21" i="3"/>
  <c r="H19" i="15" l="1"/>
  <c r="I19" i="15" s="1"/>
  <c r="J19" i="15"/>
  <c r="F20" i="14"/>
  <c r="G20" i="14"/>
  <c r="J17" i="13"/>
  <c r="H17" i="13"/>
  <c r="I17" i="13" s="1"/>
  <c r="C20" i="5"/>
  <c r="E20" i="5" s="1"/>
  <c r="D20" i="5"/>
  <c r="D28" i="12"/>
  <c r="E28" i="12"/>
  <c r="D29" i="9"/>
  <c r="E29" i="9"/>
  <c r="H28" i="8"/>
  <c r="D29" i="8"/>
  <c r="G26" i="7"/>
  <c r="C27" i="7"/>
  <c r="F18" i="6"/>
  <c r="G18" i="6" s="1"/>
  <c r="E18" i="6"/>
  <c r="D21" i="3"/>
  <c r="E21" i="3"/>
  <c r="F21" i="3"/>
  <c r="G21" i="3" s="1"/>
  <c r="F14" i="7"/>
  <c r="D15" i="7" s="1"/>
  <c r="C20" i="15" l="1"/>
  <c r="E20" i="15" s="1"/>
  <c r="D20" i="15"/>
  <c r="H20" i="14"/>
  <c r="I20" i="14" s="1"/>
  <c r="J20" i="14"/>
  <c r="D18" i="13"/>
  <c r="C18" i="13"/>
  <c r="E18" i="13" s="1"/>
  <c r="F20" i="5"/>
  <c r="G20" i="5"/>
  <c r="F28" i="12"/>
  <c r="G28" i="12" s="1"/>
  <c r="H28" i="12"/>
  <c r="H29" i="9"/>
  <c r="F29" i="9"/>
  <c r="G29" i="9" s="1"/>
  <c r="E29" i="8"/>
  <c r="F29" i="8"/>
  <c r="G29" i="8"/>
  <c r="D27" i="7"/>
  <c r="F27" i="7" s="1"/>
  <c r="E27" i="7"/>
  <c r="H18" i="6"/>
  <c r="D19" i="6"/>
  <c r="F20" i="15" l="1"/>
  <c r="G20" i="15" s="1"/>
  <c r="C21" i="14"/>
  <c r="E21" i="14" s="1"/>
  <c r="D21" i="14"/>
  <c r="F18" i="13"/>
  <c r="G18" i="13"/>
  <c r="H20" i="5"/>
  <c r="I20" i="5" s="1"/>
  <c r="J20" i="5"/>
  <c r="B29" i="12"/>
  <c r="C29" i="12"/>
  <c r="B30" i="9"/>
  <c r="C30" i="9"/>
  <c r="H29" i="8"/>
  <c r="D30" i="8"/>
  <c r="G27" i="7"/>
  <c r="C28" i="7"/>
  <c r="F15" i="7"/>
  <c r="E19" i="6"/>
  <c r="F19" i="6"/>
  <c r="G19" i="6" s="1"/>
  <c r="J20" i="15" l="1"/>
  <c r="H20" i="15"/>
  <c r="I20" i="15" s="1"/>
  <c r="F21" i="14"/>
  <c r="G21" i="14"/>
  <c r="H18" i="13"/>
  <c r="I18" i="13" s="1"/>
  <c r="J18" i="13"/>
  <c r="C21" i="5"/>
  <c r="E21" i="5" s="1"/>
  <c r="D21" i="5"/>
  <c r="D29" i="12"/>
  <c r="E29" i="12"/>
  <c r="E30" i="9"/>
  <c r="D30" i="9"/>
  <c r="E30" i="8"/>
  <c r="F30" i="8"/>
  <c r="G30" i="8"/>
  <c r="D28" i="7"/>
  <c r="E28" i="7"/>
  <c r="F28" i="7"/>
  <c r="H19" i="6"/>
  <c r="D20" i="6"/>
  <c r="C21" i="15" l="1"/>
  <c r="E21" i="15" s="1"/>
  <c r="D21" i="15"/>
  <c r="H21" i="14"/>
  <c r="I21" i="14" s="1"/>
  <c r="J21" i="14"/>
  <c r="D19" i="13"/>
  <c r="C19" i="13"/>
  <c r="E19" i="13" s="1"/>
  <c r="F21" i="5"/>
  <c r="G21" i="5"/>
  <c r="H29" i="12"/>
  <c r="F29" i="12"/>
  <c r="G29" i="12" s="1"/>
  <c r="F30" i="9"/>
  <c r="G30" i="9" s="1"/>
  <c r="H30" i="9"/>
  <c r="H30" i="8"/>
  <c r="D31" i="8"/>
  <c r="G28" i="7"/>
  <c r="C29" i="7"/>
  <c r="E20" i="6"/>
  <c r="G20" i="6" s="1"/>
  <c r="H20" i="6" s="1"/>
  <c r="F20" i="6"/>
  <c r="C31" i="6"/>
  <c r="C30" i="6"/>
  <c r="I8" i="6"/>
  <c r="F21" i="15" l="1"/>
  <c r="G21" i="15" s="1"/>
  <c r="C22" i="14"/>
  <c r="E22" i="14" s="1"/>
  <c r="D22" i="14"/>
  <c r="F19" i="13"/>
  <c r="G19" i="13" s="1"/>
  <c r="H21" i="5"/>
  <c r="I21" i="5" s="1"/>
  <c r="J21" i="5"/>
  <c r="C30" i="12"/>
  <c r="B30" i="12"/>
  <c r="B31" i="9"/>
  <c r="C31" i="9"/>
  <c r="E31" i="8"/>
  <c r="G31" i="8" s="1"/>
  <c r="F31" i="8"/>
  <c r="D29" i="7"/>
  <c r="E29" i="7"/>
  <c r="F29" i="7"/>
  <c r="H21" i="15" l="1"/>
  <c r="I21" i="15" s="1"/>
  <c r="J21" i="15"/>
  <c r="F22" i="14"/>
  <c r="H19" i="13"/>
  <c r="I19" i="13" s="1"/>
  <c r="J19" i="13"/>
  <c r="C22" i="5"/>
  <c r="E22" i="5" s="1"/>
  <c r="D22" i="5"/>
  <c r="E30" i="12"/>
  <c r="D30" i="12"/>
  <c r="E31" i="9"/>
  <c r="D31" i="9"/>
  <c r="H31" i="8"/>
  <c r="D32" i="8"/>
  <c r="G29" i="7"/>
  <c r="C30" i="7"/>
  <c r="C22" i="15" l="1"/>
  <c r="E22" i="15" s="1"/>
  <c r="D22" i="15"/>
  <c r="H22" i="14"/>
  <c r="I22" i="14" s="1"/>
  <c r="J22" i="14"/>
  <c r="C20" i="13"/>
  <c r="E20" i="13" s="1"/>
  <c r="D20" i="13"/>
  <c r="F22" i="5"/>
  <c r="G22" i="5"/>
  <c r="F30" i="12"/>
  <c r="G30" i="12" s="1"/>
  <c r="H30" i="12"/>
  <c r="F31" i="9"/>
  <c r="H31" i="9"/>
  <c r="G31" i="9"/>
  <c r="E32" i="8"/>
  <c r="F32" i="8"/>
  <c r="G32" i="8" s="1"/>
  <c r="D30" i="7"/>
  <c r="F30" i="7" s="1"/>
  <c r="E30" i="7"/>
  <c r="F22" i="15" l="1"/>
  <c r="G22" i="15" s="1"/>
  <c r="C23" i="14"/>
  <c r="E23" i="14" s="1"/>
  <c r="D23" i="14"/>
  <c r="F20" i="13"/>
  <c r="G20" i="13" s="1"/>
  <c r="J22" i="5"/>
  <c r="H22" i="5"/>
  <c r="I22" i="5" s="1"/>
  <c r="B31" i="12"/>
  <c r="C31" i="12"/>
  <c r="C32" i="9"/>
  <c r="B32" i="9"/>
  <c r="H32" i="8"/>
  <c r="D33" i="8"/>
  <c r="G30" i="7"/>
  <c r="C31" i="7"/>
  <c r="J22" i="15" l="1"/>
  <c r="H22" i="15"/>
  <c r="I22" i="15" s="1"/>
  <c r="F23" i="14"/>
  <c r="G23" i="14" s="1"/>
  <c r="H20" i="13"/>
  <c r="I20" i="13" s="1"/>
  <c r="J20" i="13"/>
  <c r="C23" i="5"/>
  <c r="E23" i="5" s="1"/>
  <c r="D23" i="5"/>
  <c r="D31" i="12"/>
  <c r="E31" i="12"/>
  <c r="D32" i="9"/>
  <c r="E32" i="9"/>
  <c r="E33" i="8"/>
  <c r="G33" i="8" s="1"/>
  <c r="F33" i="8"/>
  <c r="D31" i="7"/>
  <c r="E31" i="7"/>
  <c r="F31" i="7"/>
  <c r="C23" i="15" l="1"/>
  <c r="E23" i="15" s="1"/>
  <c r="D23" i="15"/>
  <c r="H23" i="14"/>
  <c r="I23" i="14" s="1"/>
  <c r="J23" i="14"/>
  <c r="C21" i="13"/>
  <c r="E21" i="13" s="1"/>
  <c r="D21" i="13"/>
  <c r="F23" i="5"/>
  <c r="G23" i="5"/>
  <c r="F31" i="12"/>
  <c r="G31" i="12" s="1"/>
  <c r="H31" i="12"/>
  <c r="F32" i="9"/>
  <c r="G32" i="9" s="1"/>
  <c r="H32" i="9"/>
  <c r="D34" i="8"/>
  <c r="H33" i="8"/>
  <c r="C32" i="7"/>
  <c r="G31" i="7"/>
  <c r="F23" i="15" l="1"/>
  <c r="G23" i="15"/>
  <c r="D24" i="14"/>
  <c r="C24" i="14"/>
  <c r="E24" i="14" s="1"/>
  <c r="F21" i="13"/>
  <c r="G21" i="13" s="1"/>
  <c r="H23" i="5"/>
  <c r="I23" i="5" s="1"/>
  <c r="J23" i="5"/>
  <c r="C32" i="12"/>
  <c r="B32" i="12"/>
  <c r="B33" i="9"/>
  <c r="C33" i="9"/>
  <c r="E34" i="8"/>
  <c r="F34" i="8"/>
  <c r="G34" i="8"/>
  <c r="D32" i="7"/>
  <c r="F32" i="7" s="1"/>
  <c r="E32" i="7"/>
  <c r="J23" i="15" l="1"/>
  <c r="H23" i="15"/>
  <c r="I23" i="15" s="1"/>
  <c r="F24" i="14"/>
  <c r="G24" i="14"/>
  <c r="H21" i="13"/>
  <c r="I21" i="13" s="1"/>
  <c r="J21" i="13"/>
  <c r="C24" i="5"/>
  <c r="E24" i="5" s="1"/>
  <c r="D24" i="5"/>
  <c r="E32" i="12"/>
  <c r="D32" i="12"/>
  <c r="D33" i="9"/>
  <c r="E33" i="9"/>
  <c r="H34" i="8"/>
  <c r="D35" i="8"/>
  <c r="G32" i="7"/>
  <c r="C33" i="7"/>
  <c r="C24" i="15" l="1"/>
  <c r="E24" i="15" s="1"/>
  <c r="D24" i="15"/>
  <c r="H24" i="14"/>
  <c r="I24" i="14" s="1"/>
  <c r="J24" i="14"/>
  <c r="C22" i="13"/>
  <c r="E22" i="13" s="1"/>
  <c r="D22" i="13"/>
  <c r="F24" i="5"/>
  <c r="G24" i="5"/>
  <c r="F32" i="12"/>
  <c r="G32" i="12" s="1"/>
  <c r="H32" i="12"/>
  <c r="F33" i="9"/>
  <c r="G33" i="9" s="1"/>
  <c r="H33" i="9"/>
  <c r="E35" i="8"/>
  <c r="F35" i="8"/>
  <c r="G35" i="8" s="1"/>
  <c r="D33" i="7"/>
  <c r="F33" i="7" s="1"/>
  <c r="E33" i="7"/>
  <c r="F24" i="15" l="1"/>
  <c r="G24" i="15"/>
  <c r="C25" i="14"/>
  <c r="E25" i="14" s="1"/>
  <c r="D25" i="14"/>
  <c r="F22" i="13"/>
  <c r="G22" i="13" s="1"/>
  <c r="H24" i="5"/>
  <c r="I24" i="5" s="1"/>
  <c r="J24" i="5"/>
  <c r="C33" i="12"/>
  <c r="B33" i="12"/>
  <c r="H35" i="8"/>
  <c r="D36" i="8"/>
  <c r="G33" i="7"/>
  <c r="C34" i="7"/>
  <c r="J24" i="15" l="1"/>
  <c r="H24" i="15"/>
  <c r="I24" i="15" s="1"/>
  <c r="F25" i="14"/>
  <c r="G25" i="14" s="1"/>
  <c r="H22" i="13"/>
  <c r="I22" i="13" s="1"/>
  <c r="J22" i="13"/>
  <c r="C25" i="5"/>
  <c r="E25" i="5" s="1"/>
  <c r="D25" i="5"/>
  <c r="D33" i="12"/>
  <c r="E33" i="12"/>
  <c r="E36" i="8"/>
  <c r="F36" i="8"/>
  <c r="G36" i="8"/>
  <c r="D34" i="7"/>
  <c r="E34" i="7"/>
  <c r="F34" i="7"/>
  <c r="C25" i="15" l="1"/>
  <c r="E25" i="15" s="1"/>
  <c r="D25" i="15"/>
  <c r="H25" i="14"/>
  <c r="I25" i="14" s="1"/>
  <c r="J25" i="14"/>
  <c r="C23" i="13"/>
  <c r="E23" i="13" s="1"/>
  <c r="D23" i="13"/>
  <c r="F25" i="5"/>
  <c r="G25" i="5"/>
  <c r="H33" i="12"/>
  <c r="F33" i="12"/>
  <c r="G33" i="12" s="1"/>
  <c r="H36" i="8"/>
  <c r="D37" i="8"/>
  <c r="G34" i="7"/>
  <c r="C35" i="7"/>
  <c r="F25" i="15" l="1"/>
  <c r="G25" i="15"/>
  <c r="F23" i="13"/>
  <c r="G23" i="13"/>
  <c r="H25" i="5"/>
  <c r="I25" i="5" s="1"/>
  <c r="J25" i="5"/>
  <c r="E37" i="8"/>
  <c r="F37" i="8"/>
  <c r="G37" i="8"/>
  <c r="D35" i="7"/>
  <c r="E35" i="7"/>
  <c r="F35" i="7"/>
  <c r="H25" i="15" l="1"/>
  <c r="I25" i="15" s="1"/>
  <c r="J25" i="15"/>
  <c r="H23" i="13"/>
  <c r="I23" i="13" s="1"/>
  <c r="J23" i="13"/>
  <c r="H37" i="8"/>
  <c r="D38" i="8"/>
  <c r="G35" i="7"/>
  <c r="C36" i="7"/>
  <c r="C24" i="13" l="1"/>
  <c r="E24" i="13" s="1"/>
  <c r="D24" i="13"/>
  <c r="E38" i="8"/>
  <c r="F38" i="8"/>
  <c r="G38" i="8" s="1"/>
  <c r="D36" i="7"/>
  <c r="E36" i="7"/>
  <c r="F36" i="7"/>
  <c r="F24" i="13" l="1"/>
  <c r="G24" i="13"/>
  <c r="D39" i="8"/>
  <c r="H38" i="8"/>
  <c r="G36" i="7"/>
  <c r="C37" i="7"/>
  <c r="H24" i="13" l="1"/>
  <c r="I24" i="13" s="1"/>
  <c r="J24" i="13"/>
  <c r="E39" i="8"/>
  <c r="G39" i="8" s="1"/>
  <c r="F39" i="8"/>
  <c r="D37" i="7"/>
  <c r="E37" i="7"/>
  <c r="F37" i="7"/>
  <c r="D25" i="13" l="1"/>
  <c r="C25" i="13"/>
  <c r="E25" i="13" s="1"/>
  <c r="H39" i="8"/>
  <c r="D40" i="8"/>
  <c r="G37" i="7"/>
  <c r="C38" i="7"/>
  <c r="F25" i="13" l="1"/>
  <c r="G25" i="13" s="1"/>
  <c r="F40" i="8"/>
  <c r="G40" i="8"/>
  <c r="E40" i="8"/>
  <c r="E38" i="7"/>
  <c r="D38" i="7"/>
  <c r="F38" i="7" s="1"/>
  <c r="J25" i="13" l="1"/>
  <c r="H25" i="13"/>
  <c r="I25" i="13" s="1"/>
  <c r="H40" i="8"/>
  <c r="D41" i="8"/>
  <c r="G38" i="7"/>
  <c r="C39" i="7"/>
  <c r="E41" i="8" l="1"/>
  <c r="F41" i="8"/>
  <c r="G41" i="8"/>
  <c r="D39" i="7"/>
  <c r="F39" i="7" s="1"/>
  <c r="E39" i="7"/>
  <c r="D42" i="8" l="1"/>
  <c r="H41" i="8"/>
  <c r="G39" i="7"/>
  <c r="C40" i="7"/>
  <c r="E42" i="8" l="1"/>
  <c r="G42" i="8" s="1"/>
  <c r="F42" i="8"/>
  <c r="D40" i="7"/>
  <c r="F40" i="7" s="1"/>
  <c r="E40" i="7"/>
  <c r="D43" i="8" l="1"/>
  <c r="H42" i="8"/>
  <c r="G40" i="7"/>
  <c r="C41" i="7"/>
  <c r="E43" i="8" l="1"/>
  <c r="G43" i="8" s="1"/>
  <c r="F43" i="8"/>
  <c r="E41" i="7"/>
  <c r="D41" i="7"/>
  <c r="F41" i="7" s="1"/>
  <c r="H43" i="8" l="1"/>
  <c r="D44" i="8"/>
  <c r="G41" i="7"/>
  <c r="C42" i="7"/>
  <c r="E44" i="8" l="1"/>
  <c r="G44" i="8" s="1"/>
  <c r="F44" i="8"/>
  <c r="D42" i="7"/>
  <c r="E42" i="7"/>
  <c r="F42" i="7"/>
  <c r="D45" i="8" l="1"/>
  <c r="H44" i="8"/>
  <c r="G42" i="7"/>
  <c r="C43" i="7"/>
  <c r="F45" i="8" l="1"/>
  <c r="E45" i="8"/>
  <c r="G45" i="8" s="1"/>
  <c r="E43" i="7"/>
  <c r="D43" i="7"/>
  <c r="F43" i="7" s="1"/>
  <c r="D46" i="8" l="1"/>
  <c r="H45" i="8"/>
  <c r="G43" i="7"/>
  <c r="C44" i="7"/>
  <c r="F46" i="8" l="1"/>
  <c r="E46" i="8"/>
  <c r="G46" i="8"/>
  <c r="D44" i="7"/>
  <c r="E44" i="7"/>
  <c r="F44" i="7"/>
  <c r="H46" i="8" l="1"/>
  <c r="D47" i="8"/>
  <c r="G44" i="7"/>
  <c r="C45" i="7"/>
  <c r="E47" i="8" l="1"/>
  <c r="F47" i="8"/>
  <c r="G47" i="8"/>
  <c r="D45" i="7"/>
  <c r="E45" i="7"/>
  <c r="F45" i="7"/>
  <c r="D48" i="8" l="1"/>
  <c r="H47" i="8"/>
  <c r="G45" i="7"/>
  <c r="C46" i="7"/>
  <c r="F48" i="8" l="1"/>
  <c r="E48" i="8"/>
  <c r="G48" i="8"/>
  <c r="D46" i="7"/>
  <c r="E46" i="7"/>
  <c r="F46" i="7"/>
  <c r="D49" i="8" l="1"/>
  <c r="H48" i="8"/>
  <c r="G46" i="7"/>
  <c r="C47" i="7"/>
  <c r="E49" i="8" l="1"/>
  <c r="F49" i="8"/>
  <c r="G49" i="8"/>
  <c r="H49" i="8" s="1"/>
  <c r="D47" i="7"/>
  <c r="E47" i="7"/>
  <c r="F47" i="7"/>
  <c r="C48" i="7" l="1"/>
  <c r="G47" i="7"/>
  <c r="D48" i="7" l="1"/>
  <c r="E48" i="7"/>
  <c r="F48" i="7"/>
  <c r="G48" i="7" l="1"/>
  <c r="C49" i="7"/>
  <c r="D49" i="7" l="1"/>
  <c r="E49" i="7"/>
  <c r="F49" i="7"/>
  <c r="C50" i="7" l="1"/>
  <c r="G49" i="7"/>
  <c r="D50" i="7" l="1"/>
  <c r="E50" i="7"/>
  <c r="F50" i="7"/>
  <c r="G50" i="7" l="1"/>
  <c r="C51" i="7"/>
  <c r="D51" i="7" l="1"/>
  <c r="E51" i="7"/>
  <c r="F51" i="7"/>
  <c r="G51" i="7" l="1"/>
  <c r="C52" i="7"/>
  <c r="D52" i="7" l="1"/>
  <c r="F52" i="7" s="1"/>
  <c r="G52" i="7" s="1"/>
  <c r="E52" i="7"/>
</calcChain>
</file>

<file path=xl/sharedStrings.xml><?xml version="1.0" encoding="utf-8"?>
<sst xmlns="http://schemas.openxmlformats.org/spreadsheetml/2006/main" count="293" uniqueCount="81">
  <si>
    <t>Metodo de Newthon</t>
  </si>
  <si>
    <t>Formula de Newton</t>
  </si>
  <si>
    <t>Raiz</t>
  </si>
  <si>
    <t>f(x)</t>
  </si>
  <si>
    <t>x³-x-1</t>
  </si>
  <si>
    <t>Input</t>
  </si>
  <si>
    <t>f¨(x)</t>
  </si>
  <si>
    <t>3x²-1</t>
  </si>
  <si>
    <t>x0</t>
  </si>
  <si>
    <t>item</t>
  </si>
  <si>
    <t>Xn+1</t>
  </si>
  <si>
    <t>Error</t>
  </si>
  <si>
    <t>Proonlemario</t>
  </si>
  <si>
    <t>Hacer 3 ejercicios mas</t>
  </si>
  <si>
    <t>Hacer 1 ejercicio que no tenga raiz</t>
  </si>
  <si>
    <t>Hacer 1 ejercicio donde no toque la raiz</t>
  </si>
  <si>
    <t>El formato debe tener 4 digitos representivo</t>
  </si>
  <si>
    <t>Hacer un menu con los botones</t>
  </si>
  <si>
    <t>Poner una imagen de la funcion</t>
  </si>
  <si>
    <t>Tarea</t>
  </si>
  <si>
    <t>Algoritmo de la secante</t>
  </si>
  <si>
    <t>2x-1</t>
  </si>
  <si>
    <t>Algoritmo</t>
  </si>
  <si>
    <t>1. Se tiene que conocer f(x)</t>
  </si>
  <si>
    <t>2. Se hace la primera funcion con derivación</t>
  </si>
  <si>
    <t xml:space="preserve">3. Se pide x0 </t>
  </si>
  <si>
    <t>4. Se tiene que hacer la funcion:</t>
  </si>
  <si>
    <t>xi+1 = xi - f(xi)/f´(xi)</t>
  </si>
  <si>
    <t>5. Se repite hasta que el error sea minimo =</t>
  </si>
  <si>
    <t>6. Se tiene que buscar si es raiz bolzano f(a)*f(b) &lt; 0 =</t>
  </si>
  <si>
    <t>tarea de el problemario los programas y los colocas en github</t>
  </si>
  <si>
    <t>x³-cos(x)=0</t>
  </si>
  <si>
    <t>3x^2+sen(x)=0</t>
  </si>
  <si>
    <t>Metodo de Bisección</t>
  </si>
  <si>
    <t xml:space="preserve">Método de Bisección </t>
  </si>
  <si>
    <t>Funcion</t>
  </si>
  <si>
    <t>2x²-3</t>
  </si>
  <si>
    <t>a</t>
  </si>
  <si>
    <t>b</t>
  </si>
  <si>
    <t>Tolerancia</t>
  </si>
  <si>
    <t>x</t>
  </si>
  <si>
    <t>A</t>
  </si>
  <si>
    <t>B</t>
  </si>
  <si>
    <t>F(a)</t>
  </si>
  <si>
    <t>F(b)</t>
  </si>
  <si>
    <t>mitad</t>
  </si>
  <si>
    <t>f(a)*f(b)</t>
  </si>
  <si>
    <t xml:space="preserve">Error </t>
  </si>
  <si>
    <t>Metodo de Regla Falsa</t>
  </si>
  <si>
    <t>x^2-x-2</t>
  </si>
  <si>
    <t>Xn+1 (C11-(D11/E11))</t>
  </si>
  <si>
    <t>Ejercicio de Youtube</t>
  </si>
  <si>
    <t>5. Se repite hasta que el error sea minimo                =</t>
  </si>
  <si>
    <t>3x - e^-2x</t>
  </si>
  <si>
    <t>3 + 2e^-2x</t>
  </si>
  <si>
    <t>x^3 - 2x -5</t>
  </si>
  <si>
    <t>2x^2 - 2</t>
  </si>
  <si>
    <t>3x^2 - 2</t>
  </si>
  <si>
    <t>6x</t>
  </si>
  <si>
    <t>Ejemplo de YouTube</t>
  </si>
  <si>
    <t>x^10-1</t>
  </si>
  <si>
    <t>Iteración</t>
  </si>
  <si>
    <t>Xa</t>
  </si>
  <si>
    <t>Xb</t>
  </si>
  <si>
    <t>Xr</t>
  </si>
  <si>
    <t>f(Xa)</t>
  </si>
  <si>
    <t>f(Xr)</t>
  </si>
  <si>
    <t>f(Xa)f(Xr)</t>
  </si>
  <si>
    <t>Tolerancia ABS</t>
  </si>
  <si>
    <t>Bolzano = (a*b&lt;0)</t>
  </si>
  <si>
    <t>iteraccion</t>
  </si>
  <si>
    <t>f(Xb)</t>
  </si>
  <si>
    <t>xa</t>
  </si>
  <si>
    <t>xb</t>
  </si>
  <si>
    <t>pi()*xb(xb-xa)/(xb-xa)</t>
  </si>
  <si>
    <t>x^2 -2</t>
  </si>
  <si>
    <t>x^3 -x -1</t>
  </si>
  <si>
    <t>e^x - 3x</t>
  </si>
  <si>
    <t>x^3 - x - 1</t>
  </si>
  <si>
    <t>cos (x) - x</t>
  </si>
  <si>
    <t>x^4 - 2x^2 - 5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</si>
</sst>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EE6EF"/>
        <bgColor rgb="FFDEE6EF"/>
      </patternFill>
    </fill>
    <fill>
      <patternFill patternType="solid">
        <fgColor rgb="FF81D41A"/>
        <bgColor rgb="FF81D41A"/>
      </patternFill>
    </fill>
    <fill>
      <patternFill patternType="solid">
        <fgColor rgb="FFFFFF00"/>
        <bgColor rgb="FFFFFF00"/>
      </patternFill>
    </fill>
    <fill>
      <patternFill patternType="solid">
        <fgColor rgb="FFFFDE59"/>
        <bgColor rgb="FFFFDE59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DE59"/>
      </patternFill>
    </fill>
    <fill>
      <patternFill patternType="solid">
        <fgColor theme="9" tint="0.39997558519241921"/>
        <bgColor rgb="FFFFFF00"/>
      </patternFill>
    </fill>
    <fill>
      <patternFill patternType="solid">
        <fgColor theme="9" tint="0.79998168889431442"/>
        <bgColor rgb="FFFFDE59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/>
    <xf numFmtId="0" fontId="1" fillId="3" borderId="1" xfId="0" applyFont="1" applyFill="1" applyBorder="1" applyAlignment="1"/>
    <xf numFmtId="10" fontId="1" fillId="0" borderId="0" xfId="0" applyNumberFormat="1" applyFont="1" applyAlignment="1"/>
    <xf numFmtId="0" fontId="1" fillId="4" borderId="1" xfId="0" applyFont="1" applyFill="1" applyBorder="1" applyAlignment="1"/>
    <xf numFmtId="0" fontId="2" fillId="0" borderId="0" xfId="0" applyFont="1" applyAlignment="1"/>
    <xf numFmtId="0" fontId="1" fillId="2" borderId="1" xfId="0" applyFont="1" applyFill="1" applyBorder="1" applyAlignment="1"/>
    <xf numFmtId="0" fontId="3" fillId="0" borderId="0" xfId="0" applyFont="1" applyAlignment="1"/>
    <xf numFmtId="0" fontId="3" fillId="0" borderId="2" xfId="0" applyFont="1" applyBorder="1" applyAlignment="1"/>
    <xf numFmtId="0" fontId="3" fillId="4" borderId="2" xfId="0" applyFont="1" applyFill="1" applyBorder="1" applyAlignment="1"/>
    <xf numFmtId="0" fontId="3" fillId="0" borderId="2" xfId="0" applyFont="1" applyBorder="1" applyAlignment="1">
      <alignment horizontal="right"/>
    </xf>
    <xf numFmtId="10" fontId="3" fillId="0" borderId="2" xfId="0" applyNumberFormat="1" applyFont="1" applyBorder="1" applyAlignment="1">
      <alignment horizontal="right"/>
    </xf>
    <xf numFmtId="0" fontId="3" fillId="5" borderId="2" xfId="0" applyFont="1" applyFill="1" applyBorder="1" applyAlignment="1"/>
    <xf numFmtId="0" fontId="2" fillId="6" borderId="0" xfId="0" applyFont="1" applyFill="1"/>
    <xf numFmtId="0" fontId="5" fillId="0" borderId="0" xfId="0" applyFont="1" applyAlignment="1"/>
    <xf numFmtId="0" fontId="2" fillId="0" borderId="0" xfId="0" applyFont="1" applyFill="1"/>
    <xf numFmtId="0" fontId="1" fillId="0" borderId="2" xfId="0" applyFont="1" applyBorder="1" applyAlignment="1"/>
    <xf numFmtId="0" fontId="3" fillId="9" borderId="2" xfId="0" applyFont="1" applyFill="1" applyBorder="1" applyAlignment="1"/>
    <xf numFmtId="0" fontId="0" fillId="7" borderId="3" xfId="0" applyFont="1" applyFill="1" applyBorder="1" applyAlignment="1"/>
    <xf numFmtId="0" fontId="0" fillId="0" borderId="3" xfId="0" applyFont="1" applyBorder="1" applyAlignment="1"/>
    <xf numFmtId="0" fontId="3" fillId="0" borderId="5" xfId="0" applyFont="1" applyBorder="1" applyAlignment="1">
      <alignment horizontal="right"/>
    </xf>
    <xf numFmtId="0" fontId="0" fillId="0" borderId="6" xfId="0" applyFont="1" applyBorder="1" applyAlignment="1"/>
    <xf numFmtId="0" fontId="3" fillId="0" borderId="7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1" fillId="8" borderId="4" xfId="0" applyFont="1" applyFill="1" applyBorder="1" applyAlignment="1"/>
    <xf numFmtId="0" fontId="1" fillId="8" borderId="2" xfId="0" applyFont="1" applyFill="1" applyBorder="1" applyAlignment="1"/>
    <xf numFmtId="0" fontId="1" fillId="10" borderId="2" xfId="0" applyFont="1" applyFill="1" applyBorder="1" applyAlignment="1"/>
    <xf numFmtId="0" fontId="0" fillId="6" borderId="3" xfId="0" applyFont="1" applyFill="1" applyBorder="1" applyAlignment="1"/>
    <xf numFmtId="0" fontId="3" fillId="6" borderId="3" xfId="0" applyFont="1" applyFill="1" applyBorder="1" applyAlignment="1">
      <alignment horizontal="right"/>
    </xf>
    <xf numFmtId="0" fontId="3" fillId="6" borderId="5" xfId="0" applyFont="1" applyFill="1" applyBorder="1" applyAlignment="1">
      <alignment horizontal="right"/>
    </xf>
    <xf numFmtId="0" fontId="6" fillId="0" borderId="0" xfId="0" applyFont="1" applyAlignment="1"/>
    <xf numFmtId="0" fontId="4" fillId="0" borderId="0" xfId="0" applyFont="1" applyAlignment="1"/>
    <xf numFmtId="0" fontId="4" fillId="2" borderId="1" xfId="0" applyFont="1" applyFill="1" applyBorder="1" applyAlignment="1"/>
    <xf numFmtId="0" fontId="4" fillId="7" borderId="3" xfId="0" applyFont="1" applyFill="1" applyBorder="1" applyAlignment="1"/>
    <xf numFmtId="0" fontId="1" fillId="7" borderId="3" xfId="0" applyFont="1" applyFill="1" applyBorder="1" applyAlignment="1"/>
    <xf numFmtId="0" fontId="5" fillId="0" borderId="0" xfId="0" applyFont="1"/>
    <xf numFmtId="0" fontId="6" fillId="7" borderId="3" xfId="0" applyFont="1" applyFill="1" applyBorder="1" applyAlignment="1"/>
    <xf numFmtId="0" fontId="6" fillId="7" borderId="8" xfId="0" applyFont="1" applyFill="1" applyBorder="1" applyAlignment="1"/>
    <xf numFmtId="164" fontId="0" fillId="0" borderId="0" xfId="0" applyNumberFormat="1" applyFont="1" applyAlignment="1"/>
    <xf numFmtId="10" fontId="0" fillId="0" borderId="0" xfId="0" applyNumberFormat="1" applyFont="1" applyAlignment="1"/>
    <xf numFmtId="0" fontId="3" fillId="0" borderId="9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2" fillId="0" borderId="3" xfId="0" applyFont="1" applyBorder="1"/>
    <xf numFmtId="164" fontId="0" fillId="0" borderId="3" xfId="0" applyNumberFormat="1" applyFont="1" applyBorder="1" applyAlignment="1"/>
    <xf numFmtId="0" fontId="2" fillId="6" borderId="3" xfId="0" applyFont="1" applyFill="1" applyBorder="1"/>
    <xf numFmtId="164" fontId="0" fillId="6" borderId="3" xfId="0" applyNumberFormat="1" applyFont="1" applyFill="1" applyBorder="1" applyAlignment="1"/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27</xdr:row>
      <xdr:rowOff>38100</xdr:rowOff>
    </xdr:from>
    <xdr:to>
      <xdr:col>3</xdr:col>
      <xdr:colOff>533841</xdr:colOff>
      <xdr:row>38</xdr:row>
      <xdr:rowOff>171761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D7E7B39-E2EA-3BF2-488F-84278376B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4810125"/>
          <a:ext cx="3162741" cy="2229161"/>
        </a:xfrm>
        <a:prstGeom prst="rect">
          <a:avLst/>
        </a:prstGeom>
      </xdr:spPr>
    </xdr:pic>
    <xdr:clientData/>
  </xdr:twoCellAnchor>
  <xdr:oneCellAnchor>
    <xdr:from>
      <xdr:col>0</xdr:col>
      <xdr:colOff>266700</xdr:colOff>
      <xdr:row>27</xdr:row>
      <xdr:rowOff>38100</xdr:rowOff>
    </xdr:from>
    <xdr:ext cx="3162741" cy="2229161"/>
    <xdr:pic>
      <xdr:nvPicPr>
        <xdr:cNvPr id="3" name="Imagen 2">
          <a:extLst>
            <a:ext uri="{FF2B5EF4-FFF2-40B4-BE49-F238E27FC236}">
              <a16:creationId xmlns:a16="http://schemas.microsoft.com/office/drawing/2014/main" id="{DBD0AB28-D887-4381-953A-61B9F28BE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4810125"/>
          <a:ext cx="3162741" cy="222916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34</xdr:row>
      <xdr:rowOff>47625</xdr:rowOff>
    </xdr:from>
    <xdr:ext cx="3162741" cy="1133786"/>
    <xdr:pic>
      <xdr:nvPicPr>
        <xdr:cNvPr id="4" name="Imagen 3">
          <a:extLst>
            <a:ext uri="{FF2B5EF4-FFF2-40B4-BE49-F238E27FC236}">
              <a16:creationId xmlns:a16="http://schemas.microsoft.com/office/drawing/2014/main" id="{78769461-7124-4641-B612-501104F3B1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9138"/>
        <a:stretch/>
      </xdr:blipFill>
      <xdr:spPr>
        <a:xfrm>
          <a:off x="228600" y="5553075"/>
          <a:ext cx="3162741" cy="113378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31</xdr:row>
      <xdr:rowOff>28575</xdr:rowOff>
    </xdr:from>
    <xdr:ext cx="3162741" cy="1133786"/>
    <xdr:pic>
      <xdr:nvPicPr>
        <xdr:cNvPr id="2" name="Imagen 1">
          <a:extLst>
            <a:ext uri="{FF2B5EF4-FFF2-40B4-BE49-F238E27FC236}">
              <a16:creationId xmlns:a16="http://schemas.microsoft.com/office/drawing/2014/main" id="{4475553F-F3BE-41BE-8A4A-C7223DEFFF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9138"/>
        <a:stretch/>
      </xdr:blipFill>
      <xdr:spPr>
        <a:xfrm>
          <a:off x="161925" y="5048250"/>
          <a:ext cx="3162741" cy="113378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31</xdr:row>
      <xdr:rowOff>28575</xdr:rowOff>
    </xdr:from>
    <xdr:ext cx="3162741" cy="1133786"/>
    <xdr:pic>
      <xdr:nvPicPr>
        <xdr:cNvPr id="2" name="Imagen 1">
          <a:extLst>
            <a:ext uri="{FF2B5EF4-FFF2-40B4-BE49-F238E27FC236}">
              <a16:creationId xmlns:a16="http://schemas.microsoft.com/office/drawing/2014/main" id="{3219122E-59EB-48E9-BF4B-24BDF2D5F5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9138"/>
        <a:stretch/>
      </xdr:blipFill>
      <xdr:spPr>
        <a:xfrm>
          <a:off x="161925" y="5048250"/>
          <a:ext cx="3162741" cy="1133786"/>
        </a:xfrm>
        <a:prstGeom prst="rect">
          <a:avLst/>
        </a:prstGeom>
      </xdr:spPr>
    </xdr:pic>
    <xdr:clientData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workbookViewId="0">
      <selection activeCell="G10" sqref="G10"/>
    </sheetView>
  </sheetViews>
  <sheetFormatPr baseColWidth="10" defaultColWidth="12.5703125" defaultRowHeight="15" customHeight="1" x14ac:dyDescent="0.2"/>
  <cols>
    <col min="1" max="1" width="37.85546875" customWidth="1"/>
    <col min="2" max="5" width="11.42578125" customWidth="1"/>
    <col min="6" max="6" width="19.28515625" customWidth="1"/>
    <col min="7" max="7" width="15.7109375" customWidth="1"/>
    <col min="8" max="8" width="20.85546875" customWidth="1"/>
    <col min="9" max="9" width="11.42578125" customWidth="1"/>
    <col min="10" max="26" width="8.5703125" customWidth="1"/>
  </cols>
  <sheetData>
    <row r="1" spans="1:9" ht="12.75" customHeight="1" x14ac:dyDescent="0.2">
      <c r="A1" s="1" t="s">
        <v>0</v>
      </c>
    </row>
    <row r="2" spans="1:9" ht="12.75" customHeight="1" x14ac:dyDescent="0.2">
      <c r="F2" s="2" t="s">
        <v>1</v>
      </c>
    </row>
    <row r="3" spans="1:9" ht="12.75" customHeight="1" x14ac:dyDescent="0.2">
      <c r="I3" s="2" t="s">
        <v>2</v>
      </c>
    </row>
    <row r="4" spans="1:9" ht="12.75" customHeight="1" x14ac:dyDescent="0.2">
      <c r="D4" s="2" t="s">
        <v>3</v>
      </c>
      <c r="E4" s="2" t="s">
        <v>4</v>
      </c>
      <c r="I4" s="2">
        <f>D16</f>
        <v>1.3247179572447461</v>
      </c>
    </row>
    <row r="5" spans="1:9" ht="12.75" customHeight="1" x14ac:dyDescent="0.2">
      <c r="C5" s="2" t="s">
        <v>5</v>
      </c>
      <c r="D5" s="2" t="s">
        <v>6</v>
      </c>
      <c r="E5" s="2" t="s">
        <v>7</v>
      </c>
    </row>
    <row r="6" spans="1:9" ht="12.75" customHeight="1" x14ac:dyDescent="0.2">
      <c r="D6" s="2" t="s">
        <v>8</v>
      </c>
      <c r="E6" s="2">
        <v>2</v>
      </c>
    </row>
    <row r="7" spans="1:9" ht="12.75" customHeight="1" x14ac:dyDescent="0.2"/>
    <row r="8" spans="1:9" ht="12.75" customHeight="1" x14ac:dyDescent="0.2"/>
    <row r="9" spans="1:9" ht="12.75" customHeight="1" x14ac:dyDescent="0.2">
      <c r="C9" s="3" t="s">
        <v>9</v>
      </c>
      <c r="D9" s="3" t="s">
        <v>8</v>
      </c>
      <c r="E9" s="3" t="s">
        <v>3</v>
      </c>
      <c r="F9" s="3" t="s">
        <v>6</v>
      </c>
      <c r="G9" s="3" t="s">
        <v>10</v>
      </c>
      <c r="H9" s="3" t="s">
        <v>11</v>
      </c>
    </row>
    <row r="10" spans="1:9" ht="12.75" customHeight="1" x14ac:dyDescent="0.2">
      <c r="C10" s="2">
        <v>1</v>
      </c>
      <c r="D10" s="2">
        <f>E6</f>
        <v>2</v>
      </c>
      <c r="E10" s="2">
        <f>(D10*D10*D10)-(D10)-1</f>
        <v>5</v>
      </c>
      <c r="F10" s="2">
        <f>(3*(D10*D10))-1</f>
        <v>11</v>
      </c>
      <c r="G10" s="2">
        <f>D10-(E10/F10)</f>
        <v>1.5454545454545454</v>
      </c>
    </row>
    <row r="11" spans="1:9" ht="12.75" customHeight="1" x14ac:dyDescent="0.2">
      <c r="C11" s="2">
        <v>2</v>
      </c>
      <c r="D11" s="2">
        <f t="shared" ref="D11:D17" si="0">G10</f>
        <v>1.5454545454545454</v>
      </c>
      <c r="E11" s="2">
        <f t="shared" ref="E11:E17" si="1">(D11*D11*D11)-(D11)-1</f>
        <v>1.1457550713749058</v>
      </c>
      <c r="F11" s="2">
        <f t="shared" ref="F11:F17" si="2">(3*(D11*D11))-1</f>
        <v>6.1652892561983466</v>
      </c>
      <c r="G11" s="2">
        <f t="shared" ref="G11:G17" si="3">D11-(E11/F11)</f>
        <v>1.359614915915184</v>
      </c>
      <c r="H11" s="4">
        <f t="shared" ref="H11:H17" si="4">(ABS(G11-D11)/G11)*100</f>
        <v>13.668548893071611</v>
      </c>
    </row>
    <row r="12" spans="1:9" ht="12.75" customHeight="1" x14ac:dyDescent="0.2">
      <c r="C12" s="2">
        <v>3</v>
      </c>
      <c r="D12" s="2">
        <f t="shared" si="0"/>
        <v>1.359614915915184</v>
      </c>
      <c r="E12" s="2">
        <f t="shared" si="1"/>
        <v>0.15370493448007472</v>
      </c>
      <c r="F12" s="2">
        <f t="shared" si="2"/>
        <v>4.5456581587371589</v>
      </c>
      <c r="G12" s="2">
        <f t="shared" si="3"/>
        <v>1.325801345005845</v>
      </c>
      <c r="H12" s="4">
        <f t="shared" si="4"/>
        <v>2.5504251475314299</v>
      </c>
    </row>
    <row r="13" spans="1:9" ht="12.75" customHeight="1" x14ac:dyDescent="0.2">
      <c r="C13" s="2">
        <v>4</v>
      </c>
      <c r="D13" s="2">
        <f t="shared" si="0"/>
        <v>1.325801345005845</v>
      </c>
      <c r="E13" s="2">
        <f t="shared" si="1"/>
        <v>4.6249170478298574E-3</v>
      </c>
      <c r="F13" s="2">
        <f t="shared" si="2"/>
        <v>4.2732476192579227</v>
      </c>
      <c r="G13" s="2">
        <f t="shared" si="3"/>
        <v>1.3247190494171253</v>
      </c>
      <c r="H13" s="4">
        <f t="shared" si="4"/>
        <v>8.1700009462078713E-2</v>
      </c>
    </row>
    <row r="14" spans="1:9" ht="12.75" customHeight="1" x14ac:dyDescent="0.2">
      <c r="C14" s="2">
        <v>5</v>
      </c>
      <c r="D14" s="2">
        <f t="shared" si="0"/>
        <v>1.3247190494171253</v>
      </c>
      <c r="E14" s="2">
        <f t="shared" si="1"/>
        <v>4.6577191092911363E-6</v>
      </c>
      <c r="F14" s="2">
        <f t="shared" si="2"/>
        <v>4.2646416796658357</v>
      </c>
      <c r="G14" s="2">
        <f t="shared" si="3"/>
        <v>1.3247179572458576</v>
      </c>
      <c r="H14" s="4">
        <f t="shared" si="4"/>
        <v>8.2445569766240252E-5</v>
      </c>
    </row>
    <row r="15" spans="1:9" ht="12.75" customHeight="1" x14ac:dyDescent="0.2">
      <c r="C15" s="2">
        <v>6</v>
      </c>
      <c r="D15" s="2">
        <f t="shared" si="0"/>
        <v>1.3247179572458576</v>
      </c>
      <c r="E15" s="2">
        <f t="shared" si="1"/>
        <v>4.7404302705444934E-12</v>
      </c>
      <c r="F15" s="2">
        <f t="shared" si="2"/>
        <v>4.2646329987489136</v>
      </c>
      <c r="G15" s="2">
        <f t="shared" si="3"/>
        <v>1.3247179572447461</v>
      </c>
      <c r="H15" s="4">
        <f t="shared" si="4"/>
        <v>8.3908826492139356E-11</v>
      </c>
    </row>
    <row r="16" spans="1:9" ht="12.75" customHeight="1" x14ac:dyDescent="0.2">
      <c r="A16" s="2" t="s">
        <v>12</v>
      </c>
      <c r="C16" s="2">
        <v>7</v>
      </c>
      <c r="D16" s="5">
        <f t="shared" si="0"/>
        <v>1.3247179572447461</v>
      </c>
      <c r="E16" s="2">
        <f t="shared" si="1"/>
        <v>0</v>
      </c>
      <c r="F16" s="2">
        <f t="shared" si="2"/>
        <v>4.2646329987400788</v>
      </c>
      <c r="G16" s="2">
        <f t="shared" si="3"/>
        <v>1.3247179572447461</v>
      </c>
      <c r="H16" s="4">
        <f t="shared" si="4"/>
        <v>0</v>
      </c>
    </row>
    <row r="17" spans="1:8" ht="12.75" customHeight="1" x14ac:dyDescent="0.2">
      <c r="A17" s="2" t="s">
        <v>13</v>
      </c>
      <c r="C17" s="2">
        <v>8</v>
      </c>
      <c r="D17" s="2">
        <f t="shared" si="0"/>
        <v>1.3247179572447461</v>
      </c>
      <c r="E17" s="2">
        <f t="shared" si="1"/>
        <v>0</v>
      </c>
      <c r="F17" s="2">
        <f t="shared" si="2"/>
        <v>4.2646329987400788</v>
      </c>
      <c r="G17" s="2">
        <f t="shared" si="3"/>
        <v>1.3247179572447461</v>
      </c>
      <c r="H17" s="4">
        <f t="shared" si="4"/>
        <v>0</v>
      </c>
    </row>
    <row r="18" spans="1:8" ht="12.75" customHeight="1" x14ac:dyDescent="0.2">
      <c r="A18" s="2" t="s">
        <v>14</v>
      </c>
    </row>
    <row r="19" spans="1:8" ht="12.75" customHeight="1" x14ac:dyDescent="0.2">
      <c r="A19" s="2" t="s">
        <v>15</v>
      </c>
    </row>
    <row r="20" spans="1:8" ht="12.75" customHeight="1" x14ac:dyDescent="0.2">
      <c r="A20" s="2" t="s">
        <v>16</v>
      </c>
    </row>
    <row r="21" spans="1:8" ht="12.75" customHeight="1" x14ac:dyDescent="0.2">
      <c r="A21" s="2" t="s">
        <v>17</v>
      </c>
    </row>
    <row r="22" spans="1:8" ht="12.75" customHeight="1" x14ac:dyDescent="0.2">
      <c r="A22" s="2" t="s">
        <v>18</v>
      </c>
    </row>
    <row r="23" spans="1:8" ht="12.75" customHeight="1" x14ac:dyDescent="0.2"/>
    <row r="24" spans="1:8" ht="12.75" customHeight="1" x14ac:dyDescent="0.2"/>
    <row r="25" spans="1:8" ht="12.75" customHeight="1" x14ac:dyDescent="0.2"/>
    <row r="26" spans="1:8" ht="12.75" customHeight="1" x14ac:dyDescent="0.2"/>
    <row r="27" spans="1:8" ht="12.75" customHeight="1" x14ac:dyDescent="0.2">
      <c r="A27" s="2" t="s">
        <v>19</v>
      </c>
    </row>
    <row r="28" spans="1:8" ht="12.75" customHeight="1" x14ac:dyDescent="0.2">
      <c r="A28" s="2" t="s">
        <v>20</v>
      </c>
    </row>
    <row r="29" spans="1:8" ht="12.75" customHeight="1" x14ac:dyDescent="0.2"/>
    <row r="30" spans="1:8" ht="12.75" customHeight="1" x14ac:dyDescent="0.2"/>
    <row r="31" spans="1:8" ht="12.75" customHeight="1" x14ac:dyDescent="0.2"/>
    <row r="32" spans="1:8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0.78749999999999998" bottom="0.78749999999999998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30"/>
  <sheetViews>
    <sheetView topLeftCell="A16" workbookViewId="0">
      <selection activeCell="H5" sqref="H5"/>
    </sheetView>
  </sheetViews>
  <sheetFormatPr baseColWidth="10" defaultColWidth="12.5703125" defaultRowHeight="15" customHeight="1" x14ac:dyDescent="0.2"/>
  <cols>
    <col min="1" max="1" width="46.42578125" customWidth="1"/>
    <col min="6" max="6" width="18.7109375" customWidth="1"/>
  </cols>
  <sheetData>
    <row r="1" spans="1:8" x14ac:dyDescent="0.2">
      <c r="A1" s="1" t="s">
        <v>0</v>
      </c>
    </row>
    <row r="3" spans="1:8" x14ac:dyDescent="0.2">
      <c r="E3" s="2" t="s">
        <v>1</v>
      </c>
    </row>
    <row r="4" spans="1:8" x14ac:dyDescent="0.2">
      <c r="H4" s="2" t="s">
        <v>2</v>
      </c>
    </row>
    <row r="5" spans="1:8" x14ac:dyDescent="0.2">
      <c r="C5" s="2" t="s">
        <v>3</v>
      </c>
      <c r="D5" s="6" t="s">
        <v>49</v>
      </c>
      <c r="H5" s="2">
        <f>C18</f>
        <v>2</v>
      </c>
    </row>
    <row r="6" spans="1:8" x14ac:dyDescent="0.2">
      <c r="B6" s="2" t="s">
        <v>5</v>
      </c>
      <c r="C6" s="2" t="s">
        <v>6</v>
      </c>
      <c r="D6" s="6" t="s">
        <v>21</v>
      </c>
    </row>
    <row r="7" spans="1:8" x14ac:dyDescent="0.2">
      <c r="C7" s="2" t="s">
        <v>8</v>
      </c>
      <c r="D7" s="6">
        <v>5</v>
      </c>
    </row>
    <row r="10" spans="1:8" x14ac:dyDescent="0.2">
      <c r="B10" s="3" t="s">
        <v>9</v>
      </c>
      <c r="C10" s="3" t="s">
        <v>8</v>
      </c>
      <c r="D10" s="3" t="s">
        <v>3</v>
      </c>
      <c r="E10" s="3" t="s">
        <v>6</v>
      </c>
      <c r="F10" s="3" t="s">
        <v>50</v>
      </c>
      <c r="G10" s="3" t="s">
        <v>11</v>
      </c>
    </row>
    <row r="11" spans="1:8" x14ac:dyDescent="0.2">
      <c r="B11" s="2">
        <v>1</v>
      </c>
      <c r="C11" s="2">
        <f>D7</f>
        <v>5</v>
      </c>
      <c r="D11" s="2">
        <f>(C11*C11)-((C11)-2)</f>
        <v>22</v>
      </c>
      <c r="E11" s="2">
        <f>(2*C11)-1</f>
        <v>9</v>
      </c>
      <c r="F11" s="2">
        <f>C11-(D11/E11)</f>
        <v>2.5555555555555554</v>
      </c>
    </row>
    <row r="12" spans="1:8" x14ac:dyDescent="0.2">
      <c r="B12" s="2">
        <v>2</v>
      </c>
      <c r="C12" s="2">
        <f>F11</f>
        <v>2.5555555555555554</v>
      </c>
      <c r="D12" s="2">
        <f>(C12*C12)-(C12)-2</f>
        <v>1.9753086419753076</v>
      </c>
      <c r="E12" s="2">
        <f>(2*C12)-1</f>
        <v>4.1111111111111107</v>
      </c>
      <c r="F12" s="2">
        <f>C12-(D12/E12)</f>
        <v>2.075075075075075</v>
      </c>
      <c r="G12" s="4">
        <f>ABS((F12-C12)/F12)</f>
        <v>0.2315484804630969</v>
      </c>
    </row>
    <row r="13" spans="1:8" x14ac:dyDescent="0.2">
      <c r="B13" s="2">
        <v>3</v>
      </c>
      <c r="C13" s="2">
        <f t="shared" ref="C13:C18" si="0">F12</f>
        <v>2.075075075075075</v>
      </c>
      <c r="D13" s="2">
        <f t="shared" ref="D13:D18" si="1">(C13*C13)-(C13)-2</f>
        <v>0.2308614921227532</v>
      </c>
      <c r="E13" s="2">
        <f t="shared" ref="E13:E18" si="2">(2*C13)-1</f>
        <v>3.1501501501501501</v>
      </c>
      <c r="F13" s="2">
        <f t="shared" ref="F13:F18" si="3">C13-(D13/E13)</f>
        <v>2.0017892057930191</v>
      </c>
      <c r="G13" s="4">
        <f t="shared" ref="G13:G18" si="4">ABS((F13-C13)/F13)</f>
        <v>3.661018306521608E-2</v>
      </c>
    </row>
    <row r="14" spans="1:8" x14ac:dyDescent="0.2">
      <c r="B14" s="2">
        <v>4</v>
      </c>
      <c r="C14" s="2">
        <f t="shared" si="0"/>
        <v>2.0017892057930191</v>
      </c>
      <c r="D14" s="2">
        <f t="shared" si="1"/>
        <v>5.3708186364267441E-3</v>
      </c>
      <c r="E14" s="2">
        <f t="shared" si="2"/>
        <v>3.0035784115860382</v>
      </c>
      <c r="F14" s="2">
        <f t="shared" si="3"/>
        <v>2.0000010658144824</v>
      </c>
      <c r="G14" s="4">
        <f t="shared" si="4"/>
        <v>8.9406951281221375E-4</v>
      </c>
    </row>
    <row r="15" spans="1:8" x14ac:dyDescent="0.2">
      <c r="B15" s="2">
        <v>5</v>
      </c>
      <c r="C15" s="2">
        <f t="shared" si="0"/>
        <v>2.0000010658144824</v>
      </c>
      <c r="D15" s="2">
        <f t="shared" si="1"/>
        <v>3.1974445833249376E-6</v>
      </c>
      <c r="E15" s="2">
        <f t="shared" si="2"/>
        <v>3.0000021316289649</v>
      </c>
      <c r="F15" s="2">
        <f t="shared" si="3"/>
        <v>2.0000000000003788</v>
      </c>
      <c r="G15" s="4">
        <f t="shared" si="4"/>
        <v>5.3290705181997424E-7</v>
      </c>
    </row>
    <row r="16" spans="1:8" x14ac:dyDescent="0.2">
      <c r="B16" s="2">
        <v>6</v>
      </c>
      <c r="C16" s="14">
        <f t="shared" si="0"/>
        <v>2.0000000000003788</v>
      </c>
      <c r="D16" s="2">
        <f t="shared" si="1"/>
        <v>1.1364242880063102E-12</v>
      </c>
      <c r="E16" s="2">
        <f t="shared" si="2"/>
        <v>3.0000000000007576</v>
      </c>
      <c r="F16" s="2">
        <f t="shared" si="3"/>
        <v>2</v>
      </c>
      <c r="G16" s="4">
        <f t="shared" si="4"/>
        <v>1.8940404800105171E-13</v>
      </c>
    </row>
    <row r="17" spans="1:7" x14ac:dyDescent="0.2">
      <c r="B17" s="2">
        <v>7</v>
      </c>
      <c r="C17" s="14">
        <f t="shared" si="0"/>
        <v>2</v>
      </c>
      <c r="D17" s="2">
        <f t="shared" si="1"/>
        <v>0</v>
      </c>
      <c r="E17" s="2">
        <f t="shared" si="2"/>
        <v>3</v>
      </c>
      <c r="F17" s="2">
        <f t="shared" si="3"/>
        <v>2</v>
      </c>
      <c r="G17" s="4">
        <f t="shared" si="4"/>
        <v>0</v>
      </c>
    </row>
    <row r="18" spans="1:7" x14ac:dyDescent="0.2">
      <c r="B18" s="2">
        <v>8</v>
      </c>
      <c r="C18" s="14">
        <f t="shared" si="0"/>
        <v>2</v>
      </c>
      <c r="D18" s="2">
        <f t="shared" si="1"/>
        <v>0</v>
      </c>
      <c r="E18" s="2">
        <f t="shared" si="2"/>
        <v>3</v>
      </c>
      <c r="F18" s="2">
        <f t="shared" si="3"/>
        <v>2</v>
      </c>
      <c r="G18" s="4">
        <f t="shared" si="4"/>
        <v>0</v>
      </c>
    </row>
    <row r="20" spans="1:7" x14ac:dyDescent="0.2">
      <c r="A20" s="6" t="s">
        <v>22</v>
      </c>
    </row>
    <row r="22" spans="1:7" x14ac:dyDescent="0.2">
      <c r="A22" s="6" t="s">
        <v>23</v>
      </c>
    </row>
    <row r="23" spans="1:7" x14ac:dyDescent="0.2">
      <c r="A23" s="6" t="s">
        <v>24</v>
      </c>
    </row>
    <row r="24" spans="1:7" x14ac:dyDescent="0.2">
      <c r="A24" s="6" t="s">
        <v>25</v>
      </c>
    </row>
    <row r="25" spans="1:7" x14ac:dyDescent="0.2">
      <c r="A25" s="6" t="s">
        <v>26</v>
      </c>
    </row>
    <row r="26" spans="1:7" x14ac:dyDescent="0.2">
      <c r="A26" s="6" t="s">
        <v>27</v>
      </c>
    </row>
    <row r="27" spans="1:7" x14ac:dyDescent="0.2">
      <c r="A27" s="6" t="s">
        <v>28</v>
      </c>
      <c r="B27" s="2">
        <f>C18</f>
        <v>2</v>
      </c>
    </row>
    <row r="28" spans="1:7" x14ac:dyDescent="0.2">
      <c r="A28" s="6" t="s">
        <v>29</v>
      </c>
      <c r="B28" s="2">
        <f>C17</f>
        <v>2</v>
      </c>
    </row>
    <row r="30" spans="1:7" x14ac:dyDescent="0.2">
      <c r="A30" s="6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8"/>
  <sheetViews>
    <sheetView topLeftCell="A5" zoomScale="115" workbookViewId="0">
      <selection activeCell="H6" sqref="H6"/>
    </sheetView>
  </sheetViews>
  <sheetFormatPr baseColWidth="10" defaultColWidth="12.5703125" defaultRowHeight="15" customHeight="1" x14ac:dyDescent="0.2"/>
  <sheetData>
    <row r="1" spans="1:8" ht="12.75" x14ac:dyDescent="0.2">
      <c r="A1" s="1" t="s">
        <v>0</v>
      </c>
    </row>
    <row r="3" spans="1:8" ht="12.75" x14ac:dyDescent="0.2">
      <c r="E3" s="2" t="s">
        <v>1</v>
      </c>
    </row>
    <row r="4" spans="1:8" ht="12.75" x14ac:dyDescent="0.2">
      <c r="H4" s="2" t="s">
        <v>2</v>
      </c>
    </row>
    <row r="5" spans="1:8" ht="12.75" x14ac:dyDescent="0.2">
      <c r="C5" s="2" t="s">
        <v>3</v>
      </c>
      <c r="D5" s="6" t="s">
        <v>31</v>
      </c>
      <c r="H5" s="2">
        <f>C19</f>
        <v>0.86547403310161442</v>
      </c>
    </row>
    <row r="6" spans="1:8" ht="12.75" x14ac:dyDescent="0.2">
      <c r="B6" s="2" t="s">
        <v>5</v>
      </c>
      <c r="C6" s="2" t="s">
        <v>6</v>
      </c>
      <c r="D6" s="6" t="s">
        <v>32</v>
      </c>
    </row>
    <row r="7" spans="1:8" ht="12.75" x14ac:dyDescent="0.2">
      <c r="C7" s="2" t="s">
        <v>8</v>
      </c>
      <c r="D7" s="6">
        <v>4</v>
      </c>
    </row>
    <row r="10" spans="1:8" ht="12.75" x14ac:dyDescent="0.2">
      <c r="B10" s="3" t="s">
        <v>9</v>
      </c>
      <c r="C10" s="3" t="s">
        <v>8</v>
      </c>
      <c r="D10" s="3" t="s">
        <v>3</v>
      </c>
      <c r="E10" s="3" t="s">
        <v>6</v>
      </c>
      <c r="F10" s="3" t="s">
        <v>10</v>
      </c>
      <c r="G10" s="3" t="s">
        <v>11</v>
      </c>
    </row>
    <row r="11" spans="1:8" ht="12.75" x14ac:dyDescent="0.2">
      <c r="B11" s="2">
        <v>1</v>
      </c>
      <c r="C11" s="2">
        <f>D7</f>
        <v>4</v>
      </c>
      <c r="D11" s="2">
        <f>((C11*C11*C11)-COS(C11))</f>
        <v>64.653643620863619</v>
      </c>
      <c r="E11" s="2">
        <f>(3*(C11*C11)+SIN(C11))</f>
        <v>47.24319750469207</v>
      </c>
      <c r="F11" s="2">
        <f>C11-(D11/E11)</f>
        <v>2.6314718936108763</v>
      </c>
    </row>
    <row r="12" spans="1:8" ht="12.75" x14ac:dyDescent="0.2">
      <c r="B12" s="2">
        <v>2</v>
      </c>
      <c r="C12" s="2">
        <f>F11</f>
        <v>2.6314718936108763</v>
      </c>
      <c r="D12" s="2">
        <f>((C12*C12*C12)-COS(C12))</f>
        <v>19.094692468402901</v>
      </c>
      <c r="E12" s="2">
        <f>(3*(C12*C12)+SIN(C12))</f>
        <v>21.262215616523491</v>
      </c>
      <c r="F12" s="2">
        <f>C12-(D12/E12)</f>
        <v>1.7334143810361353</v>
      </c>
      <c r="G12" s="4">
        <f>(ABS(F12-C12)/F12)*100</f>
        <v>51.808587859870755</v>
      </c>
    </row>
    <row r="13" spans="1:8" ht="12.75" x14ac:dyDescent="0.2">
      <c r="B13" s="2">
        <v>3</v>
      </c>
      <c r="C13" s="2">
        <f t="shared" ref="C13:C21" si="0">F12</f>
        <v>1.7334143810361353</v>
      </c>
      <c r="D13" s="2">
        <f t="shared" ref="D13:D21" si="1">((C13*C13*C13)-COS(C13))</f>
        <v>5.3703365200611097</v>
      </c>
      <c r="E13" s="2">
        <f t="shared" ref="E13:E21" si="2">(3*(C13*C13)+SIN(C13))</f>
        <v>10.000983045965601</v>
      </c>
      <c r="F13" s="2">
        <f t="shared" ref="F13:F21" si="3">C13-(D13/E13)</f>
        <v>1.1964335167172517</v>
      </c>
      <c r="G13" s="4">
        <f>(ABS(F13-C13)/F13)*100</f>
        <v>44.881797176013592</v>
      </c>
    </row>
    <row r="14" spans="1:8" ht="12.75" x14ac:dyDescent="0.2">
      <c r="B14" s="2">
        <v>4</v>
      </c>
      <c r="C14" s="2">
        <f t="shared" si="0"/>
        <v>1.1964335167172517</v>
      </c>
      <c r="D14" s="2">
        <f t="shared" si="1"/>
        <v>1.3469589934529078</v>
      </c>
      <c r="E14" s="2">
        <f t="shared" si="2"/>
        <v>5.2251002979359642</v>
      </c>
      <c r="F14" s="2">
        <f t="shared" si="3"/>
        <v>0.93864727020539285</v>
      </c>
      <c r="G14" s="4">
        <f t="shared" ref="G14:G21" si="4">(ABS(F14-C14)/F14)*100</f>
        <v>27.463590924357629</v>
      </c>
    </row>
    <row r="15" spans="1:8" ht="12.75" x14ac:dyDescent="0.2">
      <c r="B15" s="2">
        <v>5</v>
      </c>
      <c r="C15" s="2">
        <f t="shared" si="0"/>
        <v>0.93864727020539285</v>
      </c>
      <c r="D15" s="2">
        <f t="shared" si="1"/>
        <v>0.23612344865951795</v>
      </c>
      <c r="E15" s="2">
        <f t="shared" si="2"/>
        <v>3.4499356315403329</v>
      </c>
      <c r="F15" s="2">
        <f t="shared" si="3"/>
        <v>0.87020441390952241</v>
      </c>
      <c r="G15" s="4">
        <f t="shared" si="4"/>
        <v>7.8651469932657259</v>
      </c>
    </row>
    <row r="16" spans="1:8" ht="12.75" x14ac:dyDescent="0.2">
      <c r="B16" s="2">
        <v>6</v>
      </c>
      <c r="C16" s="2">
        <f t="shared" si="0"/>
        <v>0.87020441390952241</v>
      </c>
      <c r="D16" s="2">
        <f t="shared" si="1"/>
        <v>1.4296977429007818E-2</v>
      </c>
      <c r="E16" s="2">
        <f t="shared" si="2"/>
        <v>3.0362278985341584</v>
      </c>
      <c r="F16" s="2">
        <f t="shared" si="3"/>
        <v>0.86549561802634445</v>
      </c>
      <c r="G16" s="4">
        <f t="shared" si="4"/>
        <v>0.54405773814497049</v>
      </c>
    </row>
    <row r="17" spans="1:7" ht="12.75" x14ac:dyDescent="0.2">
      <c r="B17" s="2">
        <v>7</v>
      </c>
      <c r="C17" s="2">
        <f t="shared" si="0"/>
        <v>0.86549561802634445</v>
      </c>
      <c r="D17" s="2">
        <f t="shared" si="1"/>
        <v>6.4940439109428816E-5</v>
      </c>
      <c r="E17" s="2">
        <f t="shared" si="2"/>
        <v>3.0086646423438976</v>
      </c>
      <c r="F17" s="2">
        <f t="shared" si="3"/>
        <v>0.86547403355388597</v>
      </c>
      <c r="G17" s="4">
        <f t="shared" si="4"/>
        <v>2.4939480124953135E-3</v>
      </c>
    </row>
    <row r="18" spans="1:7" ht="12.75" x14ac:dyDescent="0.2">
      <c r="B18" s="2">
        <v>8</v>
      </c>
      <c r="C18" s="2">
        <f t="shared" si="0"/>
        <v>0.86547403355388597</v>
      </c>
      <c r="D18" s="2">
        <f t="shared" si="1"/>
        <v>1.3606763493712037E-9</v>
      </c>
      <c r="E18" s="2">
        <f t="shared" si="2"/>
        <v>3.0085385635551583</v>
      </c>
      <c r="F18" s="2">
        <f t="shared" si="3"/>
        <v>0.86547403310161442</v>
      </c>
      <c r="G18" s="4">
        <f t="shared" si="4"/>
        <v>5.2257091055723136E-8</v>
      </c>
    </row>
    <row r="19" spans="1:7" ht="15" customHeight="1" x14ac:dyDescent="0.2">
      <c r="B19" s="2">
        <v>9</v>
      </c>
      <c r="C19" s="14">
        <f t="shared" si="0"/>
        <v>0.86547403310161442</v>
      </c>
      <c r="D19" s="2">
        <f t="shared" si="1"/>
        <v>-1.1102230246251565E-16</v>
      </c>
      <c r="E19" s="2">
        <f t="shared" si="2"/>
        <v>3.0085385609133839</v>
      </c>
      <c r="F19" s="2">
        <f t="shared" si="3"/>
        <v>0.86547403310161442</v>
      </c>
      <c r="G19" s="4">
        <f t="shared" si="4"/>
        <v>0</v>
      </c>
    </row>
    <row r="20" spans="1:7" ht="12.75" x14ac:dyDescent="0.2">
      <c r="A20" s="6" t="s">
        <v>22</v>
      </c>
      <c r="B20" s="2">
        <v>10</v>
      </c>
      <c r="C20" s="14">
        <f t="shared" si="0"/>
        <v>0.86547403310161442</v>
      </c>
      <c r="D20" s="2">
        <f t="shared" si="1"/>
        <v>-1.1102230246251565E-16</v>
      </c>
      <c r="E20" s="2">
        <f t="shared" si="2"/>
        <v>3.0085385609133839</v>
      </c>
      <c r="F20" s="2">
        <f t="shared" si="3"/>
        <v>0.86547403310161442</v>
      </c>
      <c r="G20" s="4">
        <f t="shared" si="4"/>
        <v>0</v>
      </c>
    </row>
    <row r="21" spans="1:7" ht="15" customHeight="1" x14ac:dyDescent="0.2">
      <c r="B21" s="2">
        <v>11</v>
      </c>
      <c r="C21" s="14">
        <f t="shared" si="0"/>
        <v>0.86547403310161442</v>
      </c>
      <c r="D21" s="2">
        <f t="shared" si="1"/>
        <v>-1.1102230246251565E-16</v>
      </c>
      <c r="E21" s="2">
        <f t="shared" si="2"/>
        <v>3.0085385609133839</v>
      </c>
      <c r="F21" s="2">
        <f t="shared" si="3"/>
        <v>0.86547403310161442</v>
      </c>
      <c r="G21" s="4">
        <f t="shared" si="4"/>
        <v>0</v>
      </c>
    </row>
    <row r="22" spans="1:7" ht="12.75" x14ac:dyDescent="0.2">
      <c r="A22" s="6" t="s">
        <v>23</v>
      </c>
    </row>
    <row r="23" spans="1:7" ht="12.75" x14ac:dyDescent="0.2">
      <c r="A23" s="6" t="s">
        <v>24</v>
      </c>
    </row>
    <row r="24" spans="1:7" ht="12.75" x14ac:dyDescent="0.2">
      <c r="A24" s="6" t="s">
        <v>25</v>
      </c>
    </row>
    <row r="25" spans="1:7" ht="12.75" x14ac:dyDescent="0.2">
      <c r="A25" s="6" t="s">
        <v>26</v>
      </c>
    </row>
    <row r="26" spans="1:7" ht="12.75" x14ac:dyDescent="0.2">
      <c r="A26" s="6" t="s">
        <v>27</v>
      </c>
    </row>
    <row r="27" spans="1:7" ht="12.75" x14ac:dyDescent="0.2">
      <c r="A27" s="6" t="s">
        <v>28</v>
      </c>
      <c r="B27" s="2">
        <f>C17</f>
        <v>0.86549561802634445</v>
      </c>
    </row>
    <row r="28" spans="1:7" ht="12.75" x14ac:dyDescent="0.2">
      <c r="A28" s="6" t="s">
        <v>29</v>
      </c>
      <c r="B28" s="2">
        <f>C17</f>
        <v>0.86549561802634445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0E689-7647-4599-A424-6E2C0313161F}">
  <dimension ref="B2:I31"/>
  <sheetViews>
    <sheetView zoomScale="65" workbookViewId="0">
      <selection activeCell="D22" sqref="D22"/>
    </sheetView>
  </sheetViews>
  <sheetFormatPr baseColWidth="10" defaultRowHeight="12.75" x14ac:dyDescent="0.2"/>
  <cols>
    <col min="2" max="2" width="46.5703125" customWidth="1"/>
    <col min="3" max="4" width="11.5703125" bestFit="1" customWidth="1"/>
    <col min="5" max="5" width="14.140625" bestFit="1" customWidth="1"/>
    <col min="6" max="6" width="12.42578125" bestFit="1" customWidth="1"/>
    <col min="7" max="7" width="11.5703125" bestFit="1" customWidth="1"/>
    <col min="8" max="8" width="12.42578125" bestFit="1" customWidth="1"/>
    <col min="9" max="9" width="11.5703125" bestFit="1" customWidth="1"/>
  </cols>
  <sheetData>
    <row r="2" spans="2:9" x14ac:dyDescent="0.2">
      <c r="B2" t="s">
        <v>51</v>
      </c>
    </row>
    <row r="4" spans="2:9" x14ac:dyDescent="0.2">
      <c r="B4" s="7" t="s">
        <v>0</v>
      </c>
    </row>
    <row r="6" spans="2:9" x14ac:dyDescent="0.2">
      <c r="F6" s="2" t="s">
        <v>1</v>
      </c>
    </row>
    <row r="7" spans="2:9" x14ac:dyDescent="0.2">
      <c r="I7" s="2" t="s">
        <v>2</v>
      </c>
    </row>
    <row r="8" spans="2:9" x14ac:dyDescent="0.2">
      <c r="D8" s="2" t="s">
        <v>3</v>
      </c>
      <c r="E8" s="6" t="s">
        <v>53</v>
      </c>
      <c r="I8" s="2">
        <f>D20</f>
        <v>0.21628137776599979</v>
      </c>
    </row>
    <row r="9" spans="2:9" x14ac:dyDescent="0.2">
      <c r="C9" s="2" t="s">
        <v>5</v>
      </c>
      <c r="D9" s="2" t="s">
        <v>6</v>
      </c>
      <c r="E9" s="6" t="s">
        <v>54</v>
      </c>
    </row>
    <row r="10" spans="2:9" x14ac:dyDescent="0.2">
      <c r="D10" s="2" t="s">
        <v>8</v>
      </c>
      <c r="E10" s="6">
        <v>1</v>
      </c>
    </row>
    <row r="13" spans="2:9" x14ac:dyDescent="0.2">
      <c r="C13" s="3" t="s">
        <v>9</v>
      </c>
      <c r="D13" s="3" t="s">
        <v>8</v>
      </c>
      <c r="E13" s="3" t="s">
        <v>3</v>
      </c>
      <c r="F13" s="3" t="s">
        <v>6</v>
      </c>
      <c r="G13" s="3" t="s">
        <v>10</v>
      </c>
      <c r="H13" s="3" t="s">
        <v>11</v>
      </c>
    </row>
    <row r="14" spans="2:9" x14ac:dyDescent="0.2">
      <c r="C14" s="2">
        <v>1</v>
      </c>
      <c r="D14" s="2">
        <f>E10</f>
        <v>1</v>
      </c>
      <c r="E14" s="2">
        <f>3*E10-EXP(-2*E10)</f>
        <v>2.8646647167633872</v>
      </c>
      <c r="F14" s="2">
        <f t="shared" ref="F14:F20" si="0">3+2*EXP(-2*D14)</f>
        <v>3.2706705664732256</v>
      </c>
      <c r="G14" s="2">
        <f t="shared" ref="G14:G20" si="1">D14-(E14/F14)</f>
        <v>0.12413535434344758</v>
      </c>
    </row>
    <row r="15" spans="2:9" x14ac:dyDescent="0.2">
      <c r="C15" s="2">
        <v>2</v>
      </c>
      <c r="D15" s="2">
        <f t="shared" ref="D15:D20" si="2">G14</f>
        <v>0.12413535434344758</v>
      </c>
      <c r="E15" s="2">
        <f t="shared" ref="E15:E20" si="3">3*D15-EXP(-2*D15)</f>
        <v>-0.40774265862319536</v>
      </c>
      <c r="F15" s="2">
        <f t="shared" si="0"/>
        <v>4.5602974433070766</v>
      </c>
      <c r="G15" s="2">
        <f t="shared" si="1"/>
        <v>0.21354677184245724</v>
      </c>
      <c r="H15" s="4">
        <f t="shared" ref="H15:H20" si="4">ABS((G15 - D15)/G15)</f>
        <v>0.41869711598811882</v>
      </c>
    </row>
    <row r="16" spans="2:9" x14ac:dyDescent="0.2">
      <c r="C16" s="2"/>
      <c r="D16" s="2">
        <f t="shared" si="2"/>
        <v>0.21354677184245724</v>
      </c>
      <c r="E16" s="2">
        <f t="shared" si="3"/>
        <v>-1.1762205710157403E-2</v>
      </c>
      <c r="F16" s="2">
        <f t="shared" si="0"/>
        <v>4.3048050424750581</v>
      </c>
      <c r="G16" s="2">
        <f t="shared" si="1"/>
        <v>0.2162791152573392</v>
      </c>
      <c r="H16" s="4">
        <f t="shared" si="4"/>
        <v>1.2633413132058026E-2</v>
      </c>
    </row>
    <row r="17" spans="2:8" x14ac:dyDescent="0.2">
      <c r="C17" s="2"/>
      <c r="D17" s="2">
        <f t="shared" si="2"/>
        <v>0.2162791152573392</v>
      </c>
      <c r="E17" s="2">
        <f t="shared" si="3"/>
        <v>-9.7235635665438025E-6</v>
      </c>
      <c r="F17" s="2">
        <f t="shared" si="0"/>
        <v>4.2976941386711687</v>
      </c>
      <c r="G17" s="2">
        <f t="shared" si="1"/>
        <v>0.21628137776445414</v>
      </c>
      <c r="H17" s="4">
        <f t="shared" si="4"/>
        <v>1.0460942769655757E-5</v>
      </c>
    </row>
    <row r="18" spans="2:8" x14ac:dyDescent="0.2">
      <c r="C18" s="2"/>
      <c r="D18" s="14">
        <f t="shared" si="2"/>
        <v>0.21628137776445414</v>
      </c>
      <c r="E18" s="2">
        <f t="shared" si="3"/>
        <v>-6.6426864009372366E-12</v>
      </c>
      <c r="F18" s="2">
        <f t="shared" si="0"/>
        <v>4.2976882666000105</v>
      </c>
      <c r="G18" s="2">
        <f t="shared" si="1"/>
        <v>0.21628137776599979</v>
      </c>
      <c r="H18" s="4">
        <f t="shared" si="4"/>
        <v>7.1464890359419799E-12</v>
      </c>
    </row>
    <row r="19" spans="2:8" x14ac:dyDescent="0.2">
      <c r="C19" s="2"/>
      <c r="D19" s="14">
        <f t="shared" si="2"/>
        <v>0.21628137776599979</v>
      </c>
      <c r="E19" s="2">
        <f t="shared" si="3"/>
        <v>0</v>
      </c>
      <c r="F19" s="2">
        <f t="shared" si="0"/>
        <v>4.2976882665959986</v>
      </c>
      <c r="G19" s="2">
        <f t="shared" si="1"/>
        <v>0.21628137776599979</v>
      </c>
      <c r="H19" s="4">
        <f t="shared" si="4"/>
        <v>0</v>
      </c>
    </row>
    <row r="20" spans="2:8" x14ac:dyDescent="0.2">
      <c r="C20" s="2"/>
      <c r="D20" s="14">
        <f t="shared" si="2"/>
        <v>0.21628137776599979</v>
      </c>
      <c r="E20" s="2">
        <f t="shared" si="3"/>
        <v>0</v>
      </c>
      <c r="F20" s="2">
        <f t="shared" si="0"/>
        <v>4.2976882665959986</v>
      </c>
      <c r="G20" s="2">
        <f t="shared" si="1"/>
        <v>0.21628137776599979</v>
      </c>
      <c r="H20" s="4">
        <f t="shared" si="4"/>
        <v>0</v>
      </c>
    </row>
    <row r="21" spans="2:8" x14ac:dyDescent="0.2">
      <c r="C21" s="2"/>
      <c r="D21" s="2"/>
      <c r="E21" s="2"/>
      <c r="F21" s="2"/>
      <c r="G21" s="2"/>
      <c r="H21" s="4"/>
    </row>
    <row r="23" spans="2:8" x14ac:dyDescent="0.2">
      <c r="B23" s="6" t="s">
        <v>22</v>
      </c>
    </row>
    <row r="25" spans="2:8" x14ac:dyDescent="0.2">
      <c r="B25" s="6" t="s">
        <v>23</v>
      </c>
    </row>
    <row r="26" spans="2:8" x14ac:dyDescent="0.2">
      <c r="B26" s="6" t="s">
        <v>24</v>
      </c>
    </row>
    <row r="27" spans="2:8" x14ac:dyDescent="0.2">
      <c r="B27" s="6" t="s">
        <v>25</v>
      </c>
    </row>
    <row r="28" spans="2:8" x14ac:dyDescent="0.2">
      <c r="B28" s="6" t="s">
        <v>26</v>
      </c>
    </row>
    <row r="29" spans="2:8" x14ac:dyDescent="0.2">
      <c r="B29" s="6" t="s">
        <v>27</v>
      </c>
    </row>
    <row r="30" spans="2:8" x14ac:dyDescent="0.2">
      <c r="B30" s="6" t="s">
        <v>52</v>
      </c>
      <c r="C30" s="2">
        <f>D20</f>
        <v>0.21628137776599979</v>
      </c>
    </row>
    <row r="31" spans="2:8" x14ac:dyDescent="0.2">
      <c r="B31" s="6" t="s">
        <v>29</v>
      </c>
      <c r="C31" s="2">
        <f>D20</f>
        <v>0.21628137776599979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721CB-B2BE-41F2-A6DA-A98CE2DA9FB3}">
  <dimension ref="A2:J53"/>
  <sheetViews>
    <sheetView zoomScale="86" zoomScaleNormal="68" workbookViewId="0">
      <selection activeCell="E3" sqref="E3"/>
    </sheetView>
  </sheetViews>
  <sheetFormatPr baseColWidth="10" defaultRowHeight="12.75" x14ac:dyDescent="0.2"/>
  <cols>
    <col min="9" max="9" width="47.7109375" customWidth="1"/>
  </cols>
  <sheetData>
    <row r="2" spans="1:9" x14ac:dyDescent="0.2">
      <c r="A2" t="s">
        <v>51</v>
      </c>
    </row>
    <row r="3" spans="1:9" x14ac:dyDescent="0.2">
      <c r="E3" s="31"/>
    </row>
    <row r="4" spans="1:9" x14ac:dyDescent="0.2">
      <c r="A4" s="7" t="s">
        <v>0</v>
      </c>
    </row>
    <row r="6" spans="1:9" x14ac:dyDescent="0.2">
      <c r="E6" s="2" t="s">
        <v>1</v>
      </c>
    </row>
    <row r="7" spans="1:9" x14ac:dyDescent="0.2">
      <c r="H7" s="2" t="s">
        <v>2</v>
      </c>
    </row>
    <row r="8" spans="1:9" x14ac:dyDescent="0.2">
      <c r="C8" s="2" t="s">
        <v>3</v>
      </c>
      <c r="D8" s="15" t="s">
        <v>55</v>
      </c>
      <c r="H8" s="2">
        <f>C37</f>
        <v>2.1864718113514074</v>
      </c>
    </row>
    <row r="9" spans="1:9" x14ac:dyDescent="0.2">
      <c r="B9" s="2" t="s">
        <v>5</v>
      </c>
      <c r="C9" s="2" t="s">
        <v>6</v>
      </c>
      <c r="D9" s="15" t="s">
        <v>56</v>
      </c>
    </row>
    <row r="10" spans="1:9" x14ac:dyDescent="0.2">
      <c r="C10" s="2" t="s">
        <v>8</v>
      </c>
      <c r="D10" s="6">
        <v>5</v>
      </c>
    </row>
    <row r="12" spans="1:9" x14ac:dyDescent="0.2">
      <c r="I12" s="15" t="s">
        <v>22</v>
      </c>
    </row>
    <row r="13" spans="1:9" x14ac:dyDescent="0.2">
      <c r="B13" s="3" t="s">
        <v>9</v>
      </c>
      <c r="C13" s="3" t="s">
        <v>8</v>
      </c>
      <c r="D13" s="3" t="s">
        <v>3</v>
      </c>
      <c r="E13" s="3" t="s">
        <v>6</v>
      </c>
      <c r="F13" s="3" t="s">
        <v>10</v>
      </c>
      <c r="G13" s="3" t="s">
        <v>11</v>
      </c>
    </row>
    <row r="14" spans="1:9" x14ac:dyDescent="0.2">
      <c r="B14" s="2">
        <v>1</v>
      </c>
      <c r="C14" s="2">
        <f>D10</f>
        <v>5</v>
      </c>
      <c r="D14" s="2">
        <f>((C14*C14*C14)-2*(C14)-5)</f>
        <v>110</v>
      </c>
      <c r="E14" s="2">
        <f>(2*(C14*C14)*EXP(2))-2</f>
        <v>367.45280494653252</v>
      </c>
      <c r="F14" s="2">
        <f>C14-(D14/E14)</f>
        <v>4.7006418279593598</v>
      </c>
      <c r="I14" s="6" t="s">
        <v>23</v>
      </c>
    </row>
    <row r="15" spans="1:9" x14ac:dyDescent="0.2">
      <c r="B15" s="2">
        <v>2</v>
      </c>
      <c r="C15" s="2">
        <f>F14</f>
        <v>4.7006418279593598</v>
      </c>
      <c r="D15" s="2">
        <f>((C15*C15*C15)-2*(C15)-5)</f>
        <v>89.464256091610565</v>
      </c>
      <c r="E15" s="2">
        <f>(2*(C15*C15)*EXP(2))-2</f>
        <v>324.53766359109227</v>
      </c>
      <c r="F15" s="2">
        <f>C15-(D15/E15)</f>
        <v>4.4249750375422918</v>
      </c>
      <c r="G15" s="4">
        <f>ABS((F15 - C15)/F15)</f>
        <v>6.2297931192438573E-2</v>
      </c>
      <c r="I15" s="6" t="s">
        <v>24</v>
      </c>
    </row>
    <row r="16" spans="1:9" x14ac:dyDescent="0.2">
      <c r="B16" s="2">
        <v>3</v>
      </c>
      <c r="C16" s="2">
        <f t="shared" ref="C16:C52" si="0">F15</f>
        <v>4.4249750375422918</v>
      </c>
      <c r="D16" s="2">
        <f t="shared" ref="D16:D52" si="1">((C16*C16*C16)-2*(C16)-5)</f>
        <v>72.792849216616986</v>
      </c>
      <c r="E16" s="2">
        <f t="shared" ref="E16:E52" si="2">(2*(C16*C16)*EXP(2))-2</f>
        <v>287.36140841614991</v>
      </c>
      <c r="F16" s="2">
        <f t="shared" ref="F16:F52" si="3">C16-(D16/E16)</f>
        <v>4.1716604062637588</v>
      </c>
      <c r="G16" s="4">
        <f t="shared" ref="G16:G52" si="4">ABS((F16 - C16)/F16)</f>
        <v>6.0722735460005436E-2</v>
      </c>
      <c r="I16" s="6" t="s">
        <v>25</v>
      </c>
    </row>
    <row r="17" spans="1:10" x14ac:dyDescent="0.2">
      <c r="B17" s="2">
        <v>4</v>
      </c>
      <c r="C17" s="2">
        <f t="shared" si="0"/>
        <v>4.1716604062637588</v>
      </c>
      <c r="D17" s="2">
        <f t="shared" si="1"/>
        <v>59.255044596921252</v>
      </c>
      <c r="E17" s="2">
        <f t="shared" si="2"/>
        <v>255.17980010819065</v>
      </c>
      <c r="F17" s="2">
        <f t="shared" si="3"/>
        <v>3.9394514125589342</v>
      </c>
      <c r="G17" s="4">
        <f t="shared" si="4"/>
        <v>5.8944499978993148E-2</v>
      </c>
      <c r="I17" s="6" t="s">
        <v>26</v>
      </c>
    </row>
    <row r="18" spans="1:10" x14ac:dyDescent="0.2">
      <c r="B18" s="2">
        <v>5</v>
      </c>
      <c r="C18" s="2">
        <f t="shared" si="0"/>
        <v>3.9394514125589342</v>
      </c>
      <c r="D18" s="2">
        <f t="shared" si="1"/>
        <v>48.25853657592414</v>
      </c>
      <c r="E18" s="2">
        <f t="shared" si="2"/>
        <v>227.34562311854091</v>
      </c>
      <c r="F18" s="2">
        <f t="shared" si="3"/>
        <v>3.727181935302442</v>
      </c>
      <c r="G18" s="4">
        <f t="shared" si="4"/>
        <v>5.6951734833751162E-2</v>
      </c>
      <c r="I18" s="6" t="s">
        <v>27</v>
      </c>
    </row>
    <row r="19" spans="1:10" x14ac:dyDescent="0.2">
      <c r="B19" s="2">
        <v>6</v>
      </c>
      <c r="C19" s="2">
        <f t="shared" si="0"/>
        <v>3.727181935302442</v>
      </c>
      <c r="D19" s="2">
        <f t="shared" si="1"/>
        <v>39.323219615281403</v>
      </c>
      <c r="E19" s="2">
        <f t="shared" si="2"/>
        <v>203.2958378127758</v>
      </c>
      <c r="F19" s="2">
        <f t="shared" si="3"/>
        <v>3.5337533829112422</v>
      </c>
      <c r="G19" s="4">
        <f t="shared" si="4"/>
        <v>5.4737422630168363E-2</v>
      </c>
      <c r="I19" s="6" t="s">
        <v>52</v>
      </c>
      <c r="J19" s="2">
        <f>C37</f>
        <v>2.1864718113514074</v>
      </c>
    </row>
    <row r="20" spans="1:10" x14ac:dyDescent="0.2">
      <c r="B20" s="2">
        <v>7</v>
      </c>
      <c r="C20" s="2">
        <f t="shared" si="0"/>
        <v>3.5337533829112422</v>
      </c>
      <c r="D20" s="2">
        <f t="shared" si="1"/>
        <v>32.059931065094744</v>
      </c>
      <c r="E20" s="2">
        <f t="shared" si="2"/>
        <v>182.54038994996372</v>
      </c>
      <c r="F20" s="2">
        <f t="shared" si="3"/>
        <v>3.3581213977167179</v>
      </c>
      <c r="G20" s="4">
        <f t="shared" si="4"/>
        <v>5.2300665876445517E-2</v>
      </c>
      <c r="I20" s="6" t="s">
        <v>29</v>
      </c>
      <c r="J20" s="2">
        <f>C37</f>
        <v>2.1864718113514074</v>
      </c>
    </row>
    <row r="21" spans="1:10" x14ac:dyDescent="0.2">
      <c r="B21" s="2">
        <v>8</v>
      </c>
      <c r="C21" s="2">
        <f t="shared" si="0"/>
        <v>3.3581213977167179</v>
      </c>
      <c r="D21" s="2">
        <f t="shared" si="1"/>
        <v>26.15322276672179</v>
      </c>
      <c r="E21" s="2">
        <f t="shared" si="2"/>
        <v>164.65246567056485</v>
      </c>
      <c r="F21" s="2">
        <f t="shared" si="3"/>
        <v>3.1992824598349801</v>
      </c>
      <c r="G21" s="4">
        <f t="shared" si="4"/>
        <v>4.9648300791150159E-2</v>
      </c>
    </row>
    <row r="22" spans="1:10" x14ac:dyDescent="0.2">
      <c r="B22" s="2">
        <v>9</v>
      </c>
      <c r="C22" s="2">
        <f t="shared" si="0"/>
        <v>3.1992824598349801</v>
      </c>
      <c r="D22" s="2">
        <f t="shared" si="1"/>
        <v>21.34739718878452</v>
      </c>
      <c r="E22" s="2">
        <f t="shared" si="2"/>
        <v>149.26001162479915</v>
      </c>
      <c r="F22" s="2">
        <f t="shared" si="3"/>
        <v>3.0562609167143329</v>
      </c>
      <c r="G22" s="4">
        <f t="shared" si="4"/>
        <v>4.6796247774029735E-2</v>
      </c>
    </row>
    <row r="23" spans="1:10" x14ac:dyDescent="0.2">
      <c r="A23" s="15"/>
      <c r="B23" s="2">
        <v>10</v>
      </c>
      <c r="C23" s="2">
        <f t="shared" si="0"/>
        <v>3.0562609167143329</v>
      </c>
      <c r="D23" s="2">
        <f t="shared" si="1"/>
        <v>17.435188616763394</v>
      </c>
      <c r="E23" s="2">
        <f t="shared" si="2"/>
        <v>136.03836763994087</v>
      </c>
      <c r="F23" s="2">
        <f t="shared" si="3"/>
        <v>2.9280971573335242</v>
      </c>
      <c r="G23" s="4">
        <f t="shared" si="4"/>
        <v>4.3770323351401776E-2</v>
      </c>
    </row>
    <row r="24" spans="1:10" x14ac:dyDescent="0.2">
      <c r="B24" s="2">
        <v>11</v>
      </c>
      <c r="C24" s="2">
        <f t="shared" si="0"/>
        <v>2.9280971573335242</v>
      </c>
      <c r="D24" s="2">
        <f t="shared" si="1"/>
        <v>14.248587363342608</v>
      </c>
      <c r="E24" s="2">
        <f t="shared" si="2"/>
        <v>124.70388324077753</v>
      </c>
      <c r="F24" s="2">
        <f t="shared" si="3"/>
        <v>2.8138377855076162</v>
      </c>
      <c r="G24" s="4">
        <f t="shared" si="4"/>
        <v>4.0606239781976472E-2</v>
      </c>
    </row>
    <row r="25" spans="1:10" x14ac:dyDescent="0.2">
      <c r="A25" s="6"/>
      <c r="B25" s="2">
        <v>12</v>
      </c>
      <c r="C25" s="2">
        <f t="shared" si="0"/>
        <v>2.8138377855076162</v>
      </c>
      <c r="D25" s="2">
        <f t="shared" si="1"/>
        <v>11.651400262027821</v>
      </c>
      <c r="E25" s="2">
        <f t="shared" si="2"/>
        <v>115.00840894990509</v>
      </c>
      <c r="F25" s="2">
        <f t="shared" si="3"/>
        <v>2.7125286693446156</v>
      </c>
      <c r="G25" s="4">
        <f t="shared" si="4"/>
        <v>3.7348588167172563E-2</v>
      </c>
    </row>
    <row r="26" spans="1:10" x14ac:dyDescent="0.2">
      <c r="A26" s="6"/>
      <c r="B26" s="2">
        <v>13</v>
      </c>
      <c r="C26" s="2">
        <f t="shared" si="0"/>
        <v>2.7125286693446156</v>
      </c>
      <c r="D26" s="2">
        <f t="shared" si="1"/>
        <v>9.5332180636720416</v>
      </c>
      <c r="E26" s="2">
        <f t="shared" si="2"/>
        <v>106.7345680453852</v>
      </c>
      <c r="F26" s="2">
        <f t="shared" si="3"/>
        <v>2.623211607044627</v>
      </c>
      <c r="G26" s="4">
        <f t="shared" si="4"/>
        <v>3.4048744699103912E-2</v>
      </c>
    </row>
    <row r="27" spans="1:10" x14ac:dyDescent="0.2">
      <c r="A27" s="6"/>
      <c r="B27" s="2">
        <v>14</v>
      </c>
      <c r="C27" s="2">
        <f t="shared" si="0"/>
        <v>2.623211607044627</v>
      </c>
      <c r="D27" s="2">
        <f t="shared" si="1"/>
        <v>7.8045231565677184</v>
      </c>
      <c r="E27" s="2">
        <f t="shared" si="2"/>
        <v>99.691724002274825</v>
      </c>
      <c r="F27" s="2">
        <f t="shared" si="3"/>
        <v>2.5449250367733613</v>
      </c>
      <c r="G27" s="4">
        <f t="shared" si="4"/>
        <v>3.0761837437272004E-2</v>
      </c>
    </row>
    <row r="28" spans="1:10" x14ac:dyDescent="0.2">
      <c r="A28" s="6"/>
      <c r="B28" s="2">
        <v>15</v>
      </c>
      <c r="C28" s="2">
        <f t="shared" si="0"/>
        <v>2.5449250367733613</v>
      </c>
      <c r="D28" s="2">
        <f t="shared" si="1"/>
        <v>6.3927219782785674</v>
      </c>
      <c r="E28" s="2">
        <f t="shared" si="2"/>
        <v>93.712563463180416</v>
      </c>
      <c r="F28" s="2">
        <f t="shared" si="3"/>
        <v>2.4767087620068486</v>
      </c>
      <c r="G28" s="4">
        <f t="shared" si="4"/>
        <v>2.7543115207150092E-2</v>
      </c>
    </row>
    <row r="29" spans="1:10" x14ac:dyDescent="0.2">
      <c r="A29" s="6"/>
      <c r="B29" s="2">
        <v>16</v>
      </c>
      <c r="C29" s="2">
        <f t="shared" si="0"/>
        <v>2.4767087620068486</v>
      </c>
      <c r="D29" s="2">
        <f t="shared" si="1"/>
        <v>5.2389277417971698</v>
      </c>
      <c r="E29" s="2">
        <f t="shared" si="2"/>
        <v>88.65021545160549</v>
      </c>
      <c r="F29" s="2">
        <f t="shared" si="3"/>
        <v>2.4176121459962863</v>
      </c>
      <c r="G29" s="4">
        <f t="shared" si="4"/>
        <v>2.4444208765425832E-2</v>
      </c>
    </row>
    <row r="30" spans="1:10" x14ac:dyDescent="0.2">
      <c r="A30" s="6"/>
      <c r="B30" s="2">
        <v>17</v>
      </c>
      <c r="C30" s="2">
        <f t="shared" si="0"/>
        <v>2.4176121459962863</v>
      </c>
      <c r="D30" s="2">
        <f t="shared" si="1"/>
        <v>4.2953524052375567</v>
      </c>
      <c r="E30" s="2">
        <f t="shared" si="2"/>
        <v>84.37582674209149</v>
      </c>
      <c r="F30" s="2">
        <f t="shared" si="3"/>
        <v>2.3667047644500645</v>
      </c>
      <c r="G30" s="4">
        <f t="shared" si="4"/>
        <v>2.1509814959134024E-2</v>
      </c>
    </row>
    <row r="31" spans="1:10" x14ac:dyDescent="0.2">
      <c r="A31" s="6"/>
      <c r="B31" s="2">
        <v>18</v>
      </c>
      <c r="C31" s="2">
        <f t="shared" si="0"/>
        <v>2.3667047644500645</v>
      </c>
      <c r="D31" s="2">
        <f t="shared" si="1"/>
        <v>3.5231936141218156</v>
      </c>
      <c r="E31" s="2">
        <f t="shared" si="2"/>
        <v>80.776513383840168</v>
      </c>
      <c r="F31" s="2">
        <f t="shared" si="3"/>
        <v>2.3230882048025836</v>
      </c>
      <c r="G31" s="4">
        <f t="shared" si="4"/>
        <v>1.877524906601101E-2</v>
      </c>
    </row>
    <row r="32" spans="1:10" x14ac:dyDescent="0.2">
      <c r="B32" s="2">
        <v>19</v>
      </c>
      <c r="C32" s="2">
        <f t="shared" si="0"/>
        <v>2.3230882048025836</v>
      </c>
      <c r="D32" s="2">
        <f t="shared" si="1"/>
        <v>2.8909238580173104</v>
      </c>
      <c r="E32" s="2">
        <f t="shared" si="2"/>
        <v>77.753611596726515</v>
      </c>
      <c r="F32" s="2">
        <f t="shared" si="3"/>
        <v>2.2859076314677877</v>
      </c>
      <c r="G32" s="4">
        <f t="shared" si="4"/>
        <v>1.6265124987102871E-2</v>
      </c>
    </row>
    <row r="33" spans="1:7" x14ac:dyDescent="0.2">
      <c r="B33" s="2">
        <v>20</v>
      </c>
      <c r="C33" s="2">
        <f t="shared" si="0"/>
        <v>2.2859076314677877</v>
      </c>
      <c r="D33" s="2">
        <f t="shared" si="1"/>
        <v>2.3729063542572382</v>
      </c>
      <c r="E33" s="2">
        <f t="shared" si="2"/>
        <v>75.221158808481874</v>
      </c>
      <c r="F33" s="2">
        <f t="shared" si="3"/>
        <v>2.2543619016246885</v>
      </c>
      <c r="G33" s="4">
        <f t="shared" si="4"/>
        <v>1.3993196842248194E-2</v>
      </c>
    </row>
    <row r="34" spans="1:7" x14ac:dyDescent="0.2">
      <c r="A34" s="15"/>
      <c r="B34" s="2">
        <v>21</v>
      </c>
      <c r="C34" s="2">
        <f t="shared" si="0"/>
        <v>2.2543619016246885</v>
      </c>
      <c r="D34" s="2">
        <f t="shared" si="1"/>
        <v>1.9482760874199689</v>
      </c>
      <c r="E34" s="2">
        <f t="shared" si="2"/>
        <v>73.104547195006603</v>
      </c>
      <c r="F34" s="2">
        <f t="shared" si="3"/>
        <v>2.2277113557670836</v>
      </c>
      <c r="G34" s="4">
        <f t="shared" si="4"/>
        <v>1.1963195226622252E-2</v>
      </c>
    </row>
    <row r="35" spans="1:7" x14ac:dyDescent="0.2">
      <c r="B35" s="2">
        <v>22</v>
      </c>
      <c r="C35" s="2">
        <f t="shared" si="0"/>
        <v>2.2277113557670836</v>
      </c>
      <c r="D35" s="2">
        <f t="shared" si="1"/>
        <v>1.6000357212608716</v>
      </c>
      <c r="E35" s="2">
        <f t="shared" si="2"/>
        <v>71.339306142908967</v>
      </c>
      <c r="F35" s="2">
        <f t="shared" si="3"/>
        <v>2.2052828264223261</v>
      </c>
      <c r="G35" s="4">
        <f t="shared" si="4"/>
        <v>1.0170364125649915E-2</v>
      </c>
    </row>
    <row r="36" spans="1:7" x14ac:dyDescent="0.2">
      <c r="A36" s="6"/>
      <c r="B36" s="2">
        <v>23</v>
      </c>
      <c r="C36" s="2">
        <f t="shared" si="0"/>
        <v>2.2052828264223261</v>
      </c>
      <c r="D36" s="2">
        <f t="shared" si="1"/>
        <v>1.3143253287250447</v>
      </c>
      <c r="E36" s="2">
        <f t="shared" si="2"/>
        <v>69.86998435597269</v>
      </c>
      <c r="F36" s="2">
        <f t="shared" si="3"/>
        <v>2.1864718113514074</v>
      </c>
      <c r="G36" s="4">
        <f t="shared" si="4"/>
        <v>8.6033650071582653E-3</v>
      </c>
    </row>
    <row r="37" spans="1:7" x14ac:dyDescent="0.2">
      <c r="A37" s="6"/>
      <c r="B37" s="2">
        <v>24</v>
      </c>
      <c r="C37" s="14">
        <f t="shared" si="0"/>
        <v>2.1864718113514074</v>
      </c>
      <c r="D37" s="2">
        <f t="shared" si="1"/>
        <v>1.0798324807618123</v>
      </c>
      <c r="E37" s="2">
        <f t="shared" si="2"/>
        <v>68.649114813260724</v>
      </c>
      <c r="F37" s="2">
        <f t="shared" si="3"/>
        <v>2.1707420749418533</v>
      </c>
      <c r="G37" s="4">
        <f t="shared" si="4"/>
        <v>7.2462484562913591E-3</v>
      </c>
    </row>
    <row r="38" spans="1:7" x14ac:dyDescent="0.2">
      <c r="A38" s="6"/>
      <c r="B38" s="2">
        <v>25</v>
      </c>
      <c r="C38" s="14">
        <f t="shared" si="0"/>
        <v>2.1707420749418533</v>
      </c>
      <c r="D38" s="2">
        <f t="shared" si="1"/>
        <v>0.88731550550169302</v>
      </c>
      <c r="E38" s="2">
        <f t="shared" si="2"/>
        <v>67.636255132143958</v>
      </c>
      <c r="F38" s="2">
        <f t="shared" si="3"/>
        <v>2.1576231418523717</v>
      </c>
      <c r="G38" s="4">
        <f t="shared" si="4"/>
        <v>6.0802708475858865E-3</v>
      </c>
    </row>
    <row r="39" spans="1:7" x14ac:dyDescent="0.2">
      <c r="A39" s="6"/>
      <c r="B39" s="2">
        <v>26</v>
      </c>
      <c r="C39" s="14">
        <f t="shared" si="0"/>
        <v>2.1576231418523717</v>
      </c>
      <c r="D39" s="2">
        <f t="shared" si="1"/>
        <v>0.72921790321273861</v>
      </c>
      <c r="E39" s="2">
        <f t="shared" si="2"/>
        <v>66.797101700637313</v>
      </c>
      <c r="F39" s="2">
        <f t="shared" si="3"/>
        <v>2.1467062325157831</v>
      </c>
      <c r="G39" s="4">
        <f t="shared" si="4"/>
        <v>5.0854230407645484E-3</v>
      </c>
    </row>
    <row r="40" spans="1:7" x14ac:dyDescent="0.2">
      <c r="A40" s="6"/>
      <c r="B40" s="2">
        <v>27</v>
      </c>
      <c r="C40" s="14">
        <f t="shared" si="0"/>
        <v>2.1467062325157831</v>
      </c>
      <c r="D40" s="2">
        <f t="shared" si="1"/>
        <v>0.59935615407963549</v>
      </c>
      <c r="E40" s="2">
        <f t="shared" si="2"/>
        <v>66.102678599565621</v>
      </c>
      <c r="F40" s="2">
        <f t="shared" si="3"/>
        <v>2.1376391846021821</v>
      </c>
      <c r="G40" s="4">
        <f t="shared" si="4"/>
        <v>4.2416175652620321E-3</v>
      </c>
    </row>
    <row r="41" spans="1:7" x14ac:dyDescent="0.2">
      <c r="A41" s="6"/>
      <c r="B41" s="2">
        <v>28</v>
      </c>
      <c r="C41" s="14">
        <f t="shared" si="0"/>
        <v>2.1376391846021821</v>
      </c>
      <c r="D41" s="2">
        <f t="shared" si="1"/>
        <v>0.49266662859499011</v>
      </c>
      <c r="E41" s="2">
        <f t="shared" si="2"/>
        <v>65.528602656524086</v>
      </c>
      <c r="F41" s="2">
        <f t="shared" si="3"/>
        <v>2.1301208398088809</v>
      </c>
      <c r="G41" s="4">
        <f t="shared" si="4"/>
        <v>3.5295391006905127E-3</v>
      </c>
    </row>
    <row r="42" spans="1:7" x14ac:dyDescent="0.2">
      <c r="A42" s="6"/>
      <c r="B42" s="2">
        <v>29</v>
      </c>
      <c r="C42" s="14">
        <f t="shared" si="0"/>
        <v>2.1301208398088809</v>
      </c>
      <c r="D42" s="2">
        <f t="shared" si="1"/>
        <v>0.40500012807917507</v>
      </c>
      <c r="E42" s="2">
        <f t="shared" si="2"/>
        <v>65.054424887191146</v>
      </c>
      <c r="F42" s="2">
        <f t="shared" si="3"/>
        <v>2.1238952813048826</v>
      </c>
      <c r="G42" s="4">
        <f t="shared" si="4"/>
        <v>2.9311984252695538E-3</v>
      </c>
    </row>
    <row r="43" spans="1:7" x14ac:dyDescent="0.2">
      <c r="B43" s="2">
        <v>30</v>
      </c>
      <c r="C43" s="2">
        <f t="shared" si="0"/>
        <v>2.1238952813048826</v>
      </c>
      <c r="D43" s="2">
        <f t="shared" si="1"/>
        <v>0.33295485504075906</v>
      </c>
      <c r="E43" s="2">
        <f t="shared" si="2"/>
        <v>64.663046887225775</v>
      </c>
      <c r="F43" s="2">
        <f t="shared" si="3"/>
        <v>2.1187462066622751</v>
      </c>
      <c r="G43" s="4">
        <f t="shared" si="4"/>
        <v>2.4302460702544412E-3</v>
      </c>
    </row>
    <row r="44" spans="1:7" x14ac:dyDescent="0.2">
      <c r="B44" s="2">
        <v>31</v>
      </c>
      <c r="C44" s="2">
        <f t="shared" si="0"/>
        <v>2.1187462066622751</v>
      </c>
      <c r="D44" s="2">
        <f t="shared" si="1"/>
        <v>0.27374043627886291</v>
      </c>
      <c r="E44" s="2">
        <f t="shared" si="2"/>
        <v>64.340209011087111</v>
      </c>
      <c r="F44" s="2">
        <f t="shared" si="3"/>
        <v>2.1144916286855127</v>
      </c>
      <c r="G44" s="4">
        <f t="shared" si="4"/>
        <v>2.0121044316488102E-3</v>
      </c>
    </row>
    <row r="45" spans="1:7" x14ac:dyDescent="0.2">
      <c r="B45" s="2">
        <v>32</v>
      </c>
      <c r="C45" s="2">
        <f t="shared" si="0"/>
        <v>2.1144916286855127</v>
      </c>
      <c r="D45" s="2">
        <f t="shared" si="1"/>
        <v>0.22506707948848792</v>
      </c>
      <c r="E45" s="2">
        <f t="shared" si="2"/>
        <v>64.074045745544908</v>
      </c>
      <c r="F45" s="2">
        <f t="shared" si="3"/>
        <v>2.1109790195335592</v>
      </c>
      <c r="G45" s="4">
        <f t="shared" si="4"/>
        <v>1.6639716072259446E-3</v>
      </c>
    </row>
    <row r="46" spans="1:7" x14ac:dyDescent="0.2">
      <c r="B46" s="2">
        <v>33</v>
      </c>
      <c r="C46" s="2">
        <f t="shared" si="0"/>
        <v>2.1109790195335592</v>
      </c>
      <c r="D46" s="2">
        <f t="shared" si="1"/>
        <v>0.185055107640963</v>
      </c>
      <c r="E46" s="2">
        <f t="shared" si="2"/>
        <v>63.854702695967873</v>
      </c>
      <c r="F46" s="2">
        <f t="shared" si="3"/>
        <v>2.1080809540845338</v>
      </c>
      <c r="G46" s="4">
        <f t="shared" si="4"/>
        <v>1.3747410617273503E-3</v>
      </c>
    </row>
    <row r="47" spans="1:7" x14ac:dyDescent="0.2">
      <c r="B47" s="2">
        <v>34</v>
      </c>
      <c r="C47" s="2">
        <f t="shared" si="0"/>
        <v>2.1080809540845338</v>
      </c>
      <c r="D47" s="2">
        <f t="shared" si="1"/>
        <v>0.152161043529488</v>
      </c>
      <c r="E47" s="2">
        <f t="shared" si="2"/>
        <v>63.674009063908429</v>
      </c>
      <c r="F47" s="2">
        <f t="shared" si="3"/>
        <v>2.105691265642319</v>
      </c>
      <c r="G47" s="4">
        <f t="shared" si="4"/>
        <v>1.1348712326475915E-3</v>
      </c>
    </row>
    <row r="48" spans="1:7" x14ac:dyDescent="0.2">
      <c r="B48" s="2">
        <v>35</v>
      </c>
      <c r="C48" s="2">
        <f t="shared" si="0"/>
        <v>2.105691265642319</v>
      </c>
      <c r="D48" s="2">
        <f t="shared" si="1"/>
        <v>0.12511715768526166</v>
      </c>
      <c r="E48" s="2">
        <f t="shared" si="2"/>
        <v>63.525199344361738</v>
      </c>
      <c r="F48" s="2">
        <f t="shared" si="3"/>
        <v>2.1037216983056308</v>
      </c>
      <c r="G48" s="4">
        <f t="shared" si="4"/>
        <v>9.3622998625459916E-4</v>
      </c>
    </row>
    <row r="49" spans="2:7" x14ac:dyDescent="0.2">
      <c r="B49" s="2">
        <v>36</v>
      </c>
      <c r="C49" s="2">
        <f t="shared" si="0"/>
        <v>2.1037216983056308</v>
      </c>
      <c r="D49" s="2">
        <f t="shared" si="1"/>
        <v>0.1028819850627718</v>
      </c>
      <c r="E49" s="2">
        <f t="shared" si="2"/>
        <v>63.402678120300308</v>
      </c>
      <c r="F49" s="2">
        <f t="shared" si="3"/>
        <v>2.1020990226062297</v>
      </c>
      <c r="G49" s="4">
        <f t="shared" si="4"/>
        <v>7.7193114213491268E-4</v>
      </c>
    </row>
    <row r="50" spans="2:7" x14ac:dyDescent="0.2">
      <c r="B50" s="2">
        <v>37</v>
      </c>
      <c r="C50" s="2">
        <f t="shared" si="0"/>
        <v>2.1020990226062297</v>
      </c>
      <c r="D50" s="2">
        <f t="shared" si="1"/>
        <v>8.4599790260213581E-2</v>
      </c>
      <c r="E50" s="2">
        <f t="shared" si="2"/>
        <v>63.301822188031281</v>
      </c>
      <c r="F50" s="2">
        <f t="shared" si="3"/>
        <v>2.1007625715004634</v>
      </c>
      <c r="G50" s="4">
        <f t="shared" si="4"/>
        <v>6.3617427494995049E-4</v>
      </c>
    </row>
    <row r="51" spans="2:7" x14ac:dyDescent="0.2">
      <c r="B51" s="2">
        <v>38</v>
      </c>
      <c r="C51" s="2">
        <f t="shared" si="0"/>
        <v>2.1007625715004634</v>
      </c>
      <c r="D51" s="2">
        <f t="shared" si="1"/>
        <v>6.9567341939999139E-2</v>
      </c>
      <c r="E51" s="2">
        <f t="shared" si="2"/>
        <v>63.21881472847609</v>
      </c>
      <c r="F51" s="2">
        <f t="shared" si="3"/>
        <v>2.0996621500161505</v>
      </c>
      <c r="G51" s="4">
        <f t="shared" si="4"/>
        <v>5.2409454745108459E-4</v>
      </c>
    </row>
    <row r="52" spans="2:7" x14ac:dyDescent="0.2">
      <c r="B52" s="2">
        <v>39</v>
      </c>
      <c r="C52" s="2">
        <f t="shared" si="0"/>
        <v>2.0996621500161505</v>
      </c>
      <c r="D52" s="2">
        <f t="shared" si="1"/>
        <v>5.7206663741259156E-2</v>
      </c>
      <c r="E52" s="2">
        <f t="shared" si="2"/>
        <v>63.150506782517681</v>
      </c>
      <c r="F52" s="2">
        <f t="shared" si="3"/>
        <v>2.0987562718742971</v>
      </c>
      <c r="G52" s="4">
        <f t="shared" si="4"/>
        <v>4.3162617498428884E-4</v>
      </c>
    </row>
    <row r="53" spans="2:7" x14ac:dyDescent="0.2">
      <c r="B53" s="2"/>
      <c r="C53" s="16"/>
      <c r="D53" s="2"/>
      <c r="E53" s="2"/>
      <c r="F53" s="2"/>
      <c r="G53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2C28-C8D0-4A6D-BF02-4DA330F06530}">
  <dimension ref="B6:K49"/>
  <sheetViews>
    <sheetView zoomScale="99" zoomScaleNormal="41" workbookViewId="0">
      <selection activeCell="G47" sqref="G47"/>
    </sheetView>
  </sheetViews>
  <sheetFormatPr baseColWidth="10" defaultRowHeight="12.75" x14ac:dyDescent="0.2"/>
  <cols>
    <col min="6" max="6" width="12" bestFit="1" customWidth="1"/>
  </cols>
  <sheetData>
    <row r="6" spans="2:10" x14ac:dyDescent="0.2">
      <c r="B6" s="7" t="s">
        <v>0</v>
      </c>
    </row>
    <row r="8" spans="2:10" x14ac:dyDescent="0.2">
      <c r="F8" s="2" t="s">
        <v>1</v>
      </c>
    </row>
    <row r="9" spans="2:10" x14ac:dyDescent="0.2">
      <c r="I9" s="2" t="s">
        <v>2</v>
      </c>
    </row>
    <row r="10" spans="2:10" x14ac:dyDescent="0.2">
      <c r="D10" s="2" t="s">
        <v>3</v>
      </c>
      <c r="E10" s="15" t="s">
        <v>57</v>
      </c>
      <c r="I10" s="2">
        <f>D22</f>
        <v>3.9306895362884702</v>
      </c>
    </row>
    <row r="11" spans="2:10" x14ac:dyDescent="0.2">
      <c r="C11" s="2" t="s">
        <v>5</v>
      </c>
      <c r="D11" s="2" t="s">
        <v>6</v>
      </c>
      <c r="E11" s="15" t="s">
        <v>58</v>
      </c>
    </row>
    <row r="12" spans="2:10" x14ac:dyDescent="0.2">
      <c r="D12" s="2" t="s">
        <v>8</v>
      </c>
      <c r="E12" s="6">
        <v>4</v>
      </c>
    </row>
    <row r="13" spans="2:10" x14ac:dyDescent="0.2">
      <c r="J13" s="15" t="s">
        <v>22</v>
      </c>
    </row>
    <row r="15" spans="2:10" x14ac:dyDescent="0.2">
      <c r="C15" s="3" t="s">
        <v>9</v>
      </c>
      <c r="D15" s="3" t="s">
        <v>8</v>
      </c>
      <c r="E15" s="3" t="s">
        <v>3</v>
      </c>
      <c r="F15" s="3" t="s">
        <v>6</v>
      </c>
      <c r="G15" s="3" t="s">
        <v>10</v>
      </c>
      <c r="H15" s="3" t="s">
        <v>11</v>
      </c>
      <c r="J15" s="6" t="s">
        <v>23</v>
      </c>
    </row>
    <row r="16" spans="2:10" x14ac:dyDescent="0.2">
      <c r="C16" s="2">
        <v>1</v>
      </c>
      <c r="D16" s="2">
        <f>E12</f>
        <v>4</v>
      </c>
      <c r="E16" s="2">
        <f>3*(D16*D16)-2</f>
        <v>46</v>
      </c>
      <c r="F16" s="2">
        <f>(D16*D16*D16*D16*D16*D16)</f>
        <v>4096</v>
      </c>
      <c r="G16" s="2">
        <f>D16-(E16/F16)</f>
        <v>3.98876953125</v>
      </c>
      <c r="J16" s="6" t="s">
        <v>24</v>
      </c>
    </row>
    <row r="17" spans="2:11" x14ac:dyDescent="0.2">
      <c r="C17" s="2">
        <v>2</v>
      </c>
      <c r="D17" s="2">
        <f>G16</f>
        <v>3.98876953125</v>
      </c>
      <c r="E17" s="2">
        <f>3*(D17*D17)-2</f>
        <v>45.730847120285034</v>
      </c>
      <c r="F17" s="2">
        <f>(D17*D17*D17*D17*D17*D17)</f>
        <v>4027.4825047539848</v>
      </c>
      <c r="G17" s="2">
        <f>D17-(E17/F17)</f>
        <v>3.9774148333546511</v>
      </c>
      <c r="H17" s="4">
        <f>ABS((G17 - D17)/G17)</f>
        <v>2.8547934704040148E-3</v>
      </c>
      <c r="J17" s="6" t="s">
        <v>25</v>
      </c>
    </row>
    <row r="18" spans="2:11" x14ac:dyDescent="0.2">
      <c r="C18" s="2">
        <v>3</v>
      </c>
      <c r="D18" s="2">
        <f t="shared" ref="D18:D49" si="0">G17</f>
        <v>3.9774148333546511</v>
      </c>
      <c r="E18" s="2">
        <f t="shared" ref="E18:E49" si="1">3*(D18*D18)-2</f>
        <v>45.459486269768817</v>
      </c>
      <c r="F18" s="2">
        <f t="shared" ref="F18:F49" si="2">(D18*D18*D18*D18*D18*D18)</f>
        <v>3959.180796893816</v>
      </c>
      <c r="G18" s="2">
        <f t="shared" ref="G18:G49" si="3">D18-(E18/F18)</f>
        <v>3.9659327898204344</v>
      </c>
      <c r="H18" s="4">
        <f t="shared" ref="H18:H49" si="4">ABS((G18 - D18)/G18)</f>
        <v>2.8951684616764623E-3</v>
      </c>
      <c r="J18" s="6" t="s">
        <v>26</v>
      </c>
    </row>
    <row r="19" spans="2:11" x14ac:dyDescent="0.2">
      <c r="C19" s="2">
        <v>4</v>
      </c>
      <c r="D19" s="2">
        <f t="shared" si="0"/>
        <v>3.9659327898204344</v>
      </c>
      <c r="E19" s="2">
        <f t="shared" si="1"/>
        <v>45.185868680118681</v>
      </c>
      <c r="F19" s="2">
        <f t="shared" si="2"/>
        <v>3891.0973820305117</v>
      </c>
      <c r="G19" s="2">
        <f t="shared" si="3"/>
        <v>3.9543201612368395</v>
      </c>
      <c r="H19" s="4">
        <f t="shared" si="4"/>
        <v>2.9366940738462335E-3</v>
      </c>
      <c r="J19" s="6" t="s">
        <v>27</v>
      </c>
    </row>
    <row r="20" spans="2:11" x14ac:dyDescent="0.2">
      <c r="C20" s="2">
        <v>5</v>
      </c>
      <c r="D20" s="2">
        <f t="shared" si="0"/>
        <v>3.9543201612368395</v>
      </c>
      <c r="E20" s="2">
        <f t="shared" si="1"/>
        <v>44.909943812692433</v>
      </c>
      <c r="F20" s="2">
        <f t="shared" si="2"/>
        <v>3823.234831215761</v>
      </c>
      <c r="G20" s="2">
        <f t="shared" si="3"/>
        <v>3.9425735786188914</v>
      </c>
      <c r="H20" s="4">
        <f t="shared" si="4"/>
        <v>2.9794200117536033E-3</v>
      </c>
      <c r="J20" s="6" t="s">
        <v>52</v>
      </c>
      <c r="K20" s="2">
        <f>L10</f>
        <v>0</v>
      </c>
    </row>
    <row r="21" spans="2:11" x14ac:dyDescent="0.2">
      <c r="C21" s="2">
        <v>6</v>
      </c>
      <c r="D21" s="2">
        <f t="shared" si="0"/>
        <v>3.9425735786188914</v>
      </c>
      <c r="E21" s="2">
        <f t="shared" si="1"/>
        <v>44.63165926847131</v>
      </c>
      <c r="F21" s="2">
        <f t="shared" si="2"/>
        <v>3755.5957836183129</v>
      </c>
      <c r="G21" s="2">
        <f t="shared" si="3"/>
        <v>3.9306895362884702</v>
      </c>
      <c r="H21" s="4">
        <f t="shared" si="4"/>
        <v>3.0233988771452575E-3</v>
      </c>
      <c r="J21" s="6" t="s">
        <v>29</v>
      </c>
      <c r="K21" s="2">
        <f>L10</f>
        <v>0</v>
      </c>
    </row>
    <row r="22" spans="2:11" x14ac:dyDescent="0.2">
      <c r="C22" s="2">
        <v>7</v>
      </c>
      <c r="D22" s="2">
        <f t="shared" si="0"/>
        <v>3.9306895362884702</v>
      </c>
      <c r="E22" s="2">
        <f t="shared" si="1"/>
        <v>44.350960692063012</v>
      </c>
      <c r="F22" s="2">
        <f t="shared" si="2"/>
        <v>3688.1829493502883</v>
      </c>
      <c r="G22" s="2">
        <f t="shared" si="3"/>
        <v>3.9186643842553055</v>
      </c>
      <c r="H22" s="4">
        <f t="shared" si="4"/>
        <v>3.0686863824011586E-3</v>
      </c>
    </row>
    <row r="23" spans="2:11" x14ac:dyDescent="0.2">
      <c r="C23" s="2">
        <v>8</v>
      </c>
      <c r="D23" s="2">
        <f t="shared" si="0"/>
        <v>3.9186643842553055</v>
      </c>
      <c r="E23" s="2">
        <f t="shared" si="1"/>
        <v>44.067791669293037</v>
      </c>
      <c r="F23" s="2">
        <f t="shared" si="2"/>
        <v>3620.9991124541411</v>
      </c>
      <c r="G23" s="2">
        <f t="shared" si="3"/>
        <v>3.9064943200545921</v>
      </c>
      <c r="H23" s="4">
        <f t="shared" si="4"/>
        <v>3.1153415834336484E-3</v>
      </c>
    </row>
    <row r="24" spans="2:11" x14ac:dyDescent="0.2">
      <c r="C24" s="2">
        <v>9</v>
      </c>
      <c r="D24" s="2">
        <f t="shared" si="0"/>
        <v>3.9064943200545921</v>
      </c>
      <c r="E24" s="2">
        <f t="shared" si="1"/>
        <v>43.782093617856368</v>
      </c>
      <c r="F24" s="2">
        <f t="shared" si="2"/>
        <v>3554.0471340619288</v>
      </c>
      <c r="G24" s="2">
        <f t="shared" si="3"/>
        <v>3.8941753799937668</v>
      </c>
      <c r="H24" s="4">
        <f t="shared" si="4"/>
        <v>3.1634271337941007E-3</v>
      </c>
    </row>
    <row r="25" spans="2:11" x14ac:dyDescent="0.2">
      <c r="B25" s="15"/>
      <c r="C25" s="2">
        <v>10</v>
      </c>
      <c r="D25" s="2">
        <f t="shared" si="0"/>
        <v>3.8941753799937668</v>
      </c>
      <c r="E25" s="2">
        <f t="shared" si="1"/>
        <v>43.493805670448793</v>
      </c>
      <c r="F25" s="2">
        <f t="shared" si="2"/>
        <v>3487.329955739584</v>
      </c>
      <c r="G25" s="2">
        <f t="shared" si="3"/>
        <v>3.88170342975606</v>
      </c>
      <c r="H25" s="4">
        <f t="shared" si="4"/>
        <v>3.2130095622711304E-3</v>
      </c>
    </row>
    <row r="26" spans="2:11" x14ac:dyDescent="0.2">
      <c r="C26" s="2">
        <v>11</v>
      </c>
      <c r="D26" s="2">
        <f t="shared" si="0"/>
        <v>3.88170342975606</v>
      </c>
      <c r="E26" s="2">
        <f t="shared" si="1"/>
        <v>43.202864549739878</v>
      </c>
      <c r="F26" s="2">
        <f t="shared" si="2"/>
        <v>3420.8506030300255</v>
      </c>
      <c r="G26" s="2">
        <f t="shared" si="3"/>
        <v>3.8690741543029104</v>
      </c>
      <c r="H26" s="4">
        <f t="shared" si="4"/>
        <v>3.2641595765499193E-3</v>
      </c>
    </row>
    <row r="27" spans="2:11" x14ac:dyDescent="0.2">
      <c r="B27" s="6"/>
      <c r="C27" s="2">
        <v>12</v>
      </c>
      <c r="D27" s="2">
        <f t="shared" si="0"/>
        <v>3.8690741543029104</v>
      </c>
      <c r="E27" s="2">
        <f t="shared" si="1"/>
        <v>42.909204434484344</v>
      </c>
      <c r="F27" s="2">
        <f t="shared" si="2"/>
        <v>3354.6121892102065</v>
      </c>
      <c r="G27" s="2">
        <f t="shared" si="3"/>
        <v>3.8562830470111353</v>
      </c>
      <c r="H27" s="4">
        <f t="shared" si="4"/>
        <v>3.3169523958281378E-3</v>
      </c>
    </row>
    <row r="28" spans="2:11" x14ac:dyDescent="0.2">
      <c r="B28" s="6"/>
      <c r="C28" s="2">
        <v>13</v>
      </c>
      <c r="D28" s="2">
        <f t="shared" si="0"/>
        <v>3.8562830470111353</v>
      </c>
      <c r="E28" s="2">
        <f t="shared" si="1"/>
        <v>42.612756815996462</v>
      </c>
      <c r="F28" s="2">
        <f t="shared" si="2"/>
        <v>3288.6179192786208</v>
      </c>
      <c r="G28" s="2">
        <f t="shared" si="3"/>
        <v>3.8433253979737718</v>
      </c>
      <c r="H28" s="4">
        <f t="shared" si="4"/>
        <v>3.3714681156570506E-3</v>
      </c>
    </row>
    <row r="29" spans="2:11" x14ac:dyDescent="0.2">
      <c r="B29" s="6"/>
      <c r="C29" s="2">
        <v>14</v>
      </c>
      <c r="D29" s="2">
        <f t="shared" si="0"/>
        <v>3.8433253979737718</v>
      </c>
      <c r="E29" s="2">
        <f t="shared" si="1"/>
        <v>42.313450344130757</v>
      </c>
      <c r="F29" s="2">
        <f t="shared" si="2"/>
        <v>3222.87109419131</v>
      </c>
      <c r="G29" s="2">
        <f t="shared" si="3"/>
        <v>3.8301962813856485</v>
      </c>
      <c r="H29" s="4">
        <f t="shared" si="4"/>
        <v>3.4277921087045725E-3</v>
      </c>
    </row>
    <row r="30" spans="2:11" x14ac:dyDescent="0.2">
      <c r="B30" s="6"/>
      <c r="C30" s="2">
        <v>15</v>
      </c>
      <c r="D30" s="2">
        <f t="shared" si="0"/>
        <v>3.8301962813856485</v>
      </c>
      <c r="E30" s="2">
        <f t="shared" si="1"/>
        <v>42.011210661821352</v>
      </c>
      <c r="F30" s="2">
        <f t="shared" si="2"/>
        <v>3157.3751153661929</v>
      </c>
      <c r="G30" s="2">
        <f t="shared" si="3"/>
        <v>3.8168905419258792</v>
      </c>
      <c r="H30" s="4">
        <f t="shared" si="4"/>
        <v>3.4860154656296935E-3</v>
      </c>
    </row>
    <row r="31" spans="2:11" x14ac:dyDescent="0.2">
      <c r="B31" s="6"/>
      <c r="C31" s="2">
        <v>16</v>
      </c>
      <c r="D31" s="2">
        <f t="shared" si="0"/>
        <v>3.8168905419258792</v>
      </c>
      <c r="E31" s="2">
        <f t="shared" si="1"/>
        <v>41.705960227129694</v>
      </c>
      <c r="F31" s="2">
        <f t="shared" si="2"/>
        <v>3092.1334894774209</v>
      </c>
      <c r="G31" s="2">
        <f t="shared" si="3"/>
        <v>3.8034027800394483</v>
      </c>
      <c r="H31" s="4">
        <f t="shared" si="4"/>
        <v>3.5462354808214573E-3</v>
      </c>
    </row>
    <row r="32" spans="2:11" x14ac:dyDescent="0.2">
      <c r="B32" s="6"/>
      <c r="C32" s="2">
        <v>17</v>
      </c>
      <c r="D32" s="2">
        <f t="shared" si="0"/>
        <v>3.8034027800394483</v>
      </c>
      <c r="E32" s="2">
        <f t="shared" si="1"/>
        <v>41.397618121635418</v>
      </c>
      <c r="F32" s="2">
        <f t="shared" si="2"/>
        <v>3027.1498335636575</v>
      </c>
      <c r="G32" s="2">
        <f t="shared" si="3"/>
        <v>3.7897273360086845</v>
      </c>
      <c r="H32" s="4">
        <f t="shared" si="4"/>
        <v>3.6085561884161045E-3</v>
      </c>
    </row>
    <row r="33" spans="2:8" x14ac:dyDescent="0.2">
      <c r="B33" s="6"/>
      <c r="C33" s="2">
        <v>18</v>
      </c>
      <c r="D33" s="2">
        <f t="shared" si="0"/>
        <v>3.7897273360086845</v>
      </c>
      <c r="E33" s="2">
        <f t="shared" si="1"/>
        <v>41.086099843874443</v>
      </c>
      <c r="F33" s="2">
        <f t="shared" si="2"/>
        <v>2962.4278804765668</v>
      </c>
      <c r="G33" s="2">
        <f t="shared" si="3"/>
        <v>3.7758582726925289</v>
      </c>
      <c r="H33" s="4">
        <f t="shared" si="4"/>
        <v>3.6730889547572088E-3</v>
      </c>
    </row>
    <row r="34" spans="2:8" x14ac:dyDescent="0.2">
      <c r="C34" s="2">
        <v>19</v>
      </c>
      <c r="D34" s="2">
        <f t="shared" si="0"/>
        <v>3.7758582726925289</v>
      </c>
      <c r="E34" s="2">
        <f t="shared" si="1"/>
        <v>40.771317086381821</v>
      </c>
      <c r="F34" s="2">
        <f t="shared" si="2"/>
        <v>2897.9714846984984</v>
      </c>
      <c r="G34" s="2">
        <f t="shared" si="3"/>
        <v>3.7617893567968212</v>
      </c>
      <c r="H34" s="4">
        <f t="shared" si="4"/>
        <v>3.7399531343475937E-3</v>
      </c>
    </row>
    <row r="35" spans="2:8" x14ac:dyDescent="0.2">
      <c r="C35" s="2">
        <v>20</v>
      </c>
      <c r="D35" s="2">
        <f t="shared" si="0"/>
        <v>3.7617893567968212</v>
      </c>
      <c r="E35" s="2">
        <f t="shared" si="1"/>
        <v>40.45317749472953</v>
      </c>
      <c r="F35" s="2">
        <f t="shared" si="2"/>
        <v>2833.7846285613678</v>
      </c>
      <c r="G35" s="2">
        <f t="shared" si="3"/>
        <v>3.7475140385220986</v>
      </c>
      <c r="H35" s="4">
        <f t="shared" si="4"/>
        <v>3.8092767973598707E-3</v>
      </c>
    </row>
    <row r="36" spans="2:8" x14ac:dyDescent="0.2">
      <c r="C36" s="2">
        <v>21</v>
      </c>
      <c r="D36" s="2">
        <f t="shared" si="0"/>
        <v>3.7475140385220986</v>
      </c>
      <c r="E36" s="2">
        <f t="shared" si="1"/>
        <v>40.131584406760624</v>
      </c>
      <c r="F36" s="2">
        <f t="shared" si="2"/>
        <v>2769.87142890217</v>
      </c>
      <c r="G36" s="2">
        <f t="shared" si="3"/>
        <v>3.7330254294162724</v>
      </c>
      <c r="H36" s="4">
        <f t="shared" si="4"/>
        <v>3.8811975379690463E-3</v>
      </c>
    </row>
    <row r="37" spans="2:8" x14ac:dyDescent="0.2">
      <c r="C37" s="2">
        <v>22</v>
      </c>
      <c r="D37" s="2">
        <f t="shared" si="0"/>
        <v>3.7330254294162724</v>
      </c>
      <c r="E37" s="2">
        <f t="shared" si="1"/>
        <v>39.80643657000563</v>
      </c>
      <c r="F37" s="2">
        <f t="shared" si="2"/>
        <v>2706.2361441943531</v>
      </c>
      <c r="G37" s="2">
        <f t="shared" si="3"/>
        <v>3.7183162782376504</v>
      </c>
      <c r="H37" s="4">
        <f t="shared" si="4"/>
        <v>3.9558633741596455E-3</v>
      </c>
    </row>
    <row r="38" spans="2:8" x14ac:dyDescent="0.2">
      <c r="C38" s="2">
        <v>23</v>
      </c>
      <c r="D38" s="2">
        <f t="shared" si="0"/>
        <v>3.7183162782376504</v>
      </c>
      <c r="E38" s="2">
        <f t="shared" si="1"/>
        <v>39.477627835021281</v>
      </c>
      <c r="F38" s="2">
        <f t="shared" si="2"/>
        <v>2642.8831821986091</v>
      </c>
      <c r="G38" s="2">
        <f t="shared" si="3"/>
        <v>3.7033789446086325</v>
      </c>
      <c r="H38" s="4">
        <f t="shared" si="4"/>
        <v>4.0334337512945226E-3</v>
      </c>
    </row>
    <row r="39" spans="2:8" x14ac:dyDescent="0.2">
      <c r="C39" s="2">
        <v>24</v>
      </c>
      <c r="D39" s="2">
        <f t="shared" si="0"/>
        <v>3.7033789446086325</v>
      </c>
      <c r="E39" s="2">
        <f t="shared" si="1"/>
        <v>39.145046822111645</v>
      </c>
      <c r="F39" s="2">
        <f t="shared" si="2"/>
        <v>2579.8171081815799</v>
      </c>
      <c r="G39" s="2">
        <f t="shared" si="3"/>
        <v>3.6882053702114521</v>
      </c>
      <c r="H39" s="4">
        <f t="shared" si="4"/>
        <v>4.1140806636563287E-3</v>
      </c>
    </row>
    <row r="40" spans="2:8" x14ac:dyDescent="0.2">
      <c r="C40" s="2">
        <v>25</v>
      </c>
      <c r="D40" s="2">
        <f t="shared" si="0"/>
        <v>3.6882053702114521</v>
      </c>
      <c r="E40" s="2">
        <f t="shared" si="1"/>
        <v>38.808576558569783</v>
      </c>
      <c r="F40" s="2">
        <f t="shared" si="2"/>
        <v>2517.0426537564508</v>
      </c>
      <c r="G40" s="2">
        <f t="shared" si="3"/>
        <v>3.6727870472439603</v>
      </c>
      <c r="H40" s="4">
        <f t="shared" si="4"/>
        <v>4.1979899104309954E-3</v>
      </c>
    </row>
    <row r="41" spans="2:8" x14ac:dyDescent="0.2">
      <c r="C41" s="2">
        <v>26</v>
      </c>
      <c r="D41" s="2">
        <f t="shared" si="0"/>
        <v>3.6727870472439603</v>
      </c>
      <c r="E41" s="2">
        <f t="shared" si="1"/>
        <v>38.468094083209024</v>
      </c>
      <c r="F41" s="2">
        <f t="shared" si="2"/>
        <v>2454.5647264057566</v>
      </c>
      <c r="G41" s="2">
        <f t="shared" si="3"/>
        <v>3.6571149838148007</v>
      </c>
      <c r="H41" s="4">
        <f t="shared" si="4"/>
        <v>4.2853625052860127E-3</v>
      </c>
    </row>
    <row r="42" spans="2:8" x14ac:dyDescent="0.2">
      <c r="C42" s="2">
        <v>27</v>
      </c>
      <c r="D42" s="2">
        <f t="shared" si="0"/>
        <v>3.6571149838148007</v>
      </c>
      <c r="E42" s="2">
        <f t="shared" si="1"/>
        <v>38.123470014528195</v>
      </c>
      <c r="F42" s="2">
        <f t="shared" si="2"/>
        <v>2392.3884197538882</v>
      </c>
      <c r="G42" s="2">
        <f t="shared" si="3"/>
        <v>3.6411796659125137</v>
      </c>
      <c r="H42" s="4">
        <f t="shared" si="4"/>
        <v>4.3764162618691958E-3</v>
      </c>
    </row>
    <row r="43" spans="2:8" x14ac:dyDescent="0.2">
      <c r="C43" s="2">
        <v>28</v>
      </c>
      <c r="D43" s="2">
        <f t="shared" si="0"/>
        <v>3.6411796659125137</v>
      </c>
      <c r="E43" s="2">
        <f t="shared" si="1"/>
        <v>37.774568078364297</v>
      </c>
      <c r="F43" s="2">
        <f t="shared" si="2"/>
        <v>2330.519024664985</v>
      </c>
      <c r="G43" s="2">
        <f t="shared" si="3"/>
        <v>3.6249710155309556</v>
      </c>
      <c r="H43" s="4">
        <f t="shared" si="4"/>
        <v>4.4713875813387864E-3</v>
      </c>
    </row>
    <row r="44" spans="2:8" x14ac:dyDescent="0.2">
      <c r="C44" s="2">
        <v>29</v>
      </c>
      <c r="D44" s="2">
        <f t="shared" si="0"/>
        <v>3.6249710155309556</v>
      </c>
      <c r="E44" s="2">
        <f t="shared" si="1"/>
        <v>37.42124459031858</v>
      </c>
      <c r="F44" s="2">
        <f t="shared" si="2"/>
        <v>2268.9620412512841</v>
      </c>
      <c r="G44" s="2">
        <f t="shared" si="3"/>
        <v>3.6084783444725708</v>
      </c>
      <c r="H44" s="4">
        <f t="shared" si="4"/>
        <v>4.5705334725503095E-3</v>
      </c>
    </row>
    <row r="45" spans="2:8" x14ac:dyDescent="0.2">
      <c r="C45" s="2">
        <v>30</v>
      </c>
      <c r="D45" s="2">
        <f t="shared" si="0"/>
        <v>3.6084783444725708</v>
      </c>
      <c r="E45" s="2">
        <f t="shared" si="1"/>
        <v>37.063347887582516</v>
      </c>
      <c r="F45" s="2">
        <f t="shared" si="2"/>
        <v>2207.7231918877774</v>
      </c>
      <c r="G45" s="2">
        <f t="shared" si="3"/>
        <v>3.5916903032798295</v>
      </c>
      <c r="H45" s="4">
        <f t="shared" si="4"/>
        <v>4.6741338409413751E-3</v>
      </c>
    </row>
    <row r="46" spans="2:8" x14ac:dyDescent="0.2">
      <c r="C46" s="2">
        <v>31</v>
      </c>
      <c r="D46" s="2">
        <f t="shared" si="0"/>
        <v>3.5916903032798295</v>
      </c>
      <c r="E46" s="2">
        <f t="shared" si="1"/>
        <v>36.700717704023063</v>
      </c>
      <c r="F46" s="2">
        <f t="shared" si="2"/>
        <v>2146.8084353414174</v>
      </c>
      <c r="G46" s="2">
        <f t="shared" si="3"/>
        <v>3.5745948246615025</v>
      </c>
      <c r="H46" s="4">
        <f t="shared" si="4"/>
        <v>4.7824940886680538E-3</v>
      </c>
    </row>
    <row r="47" spans="2:8" x14ac:dyDescent="0.2">
      <c r="C47" s="2">
        <v>32</v>
      </c>
      <c r="D47" s="2">
        <f t="shared" si="0"/>
        <v>3.5745948246615025</v>
      </c>
      <c r="E47" s="2">
        <f t="shared" si="1"/>
        <v>36.333184481490392</v>
      </c>
      <c r="F47" s="2">
        <f t="shared" si="2"/>
        <v>2086.223982137436</v>
      </c>
      <c r="G47" s="2">
        <f t="shared" si="3"/>
        <v>3.5571790606819009</v>
      </c>
      <c r="H47" s="4">
        <f t="shared" si="4"/>
        <v>4.8959480764128272E-3</v>
      </c>
    </row>
    <row r="48" spans="2:8" x14ac:dyDescent="0.2">
      <c r="C48" s="2">
        <v>33</v>
      </c>
      <c r="D48" s="2">
        <f t="shared" si="0"/>
        <v>3.5571790606819009</v>
      </c>
      <c r="E48" s="2">
        <f t="shared" si="1"/>
        <v>35.960568609261315</v>
      </c>
      <c r="F48" s="2">
        <f t="shared" si="2"/>
        <v>2025.9763113019383</v>
      </c>
      <c r="G48" s="2">
        <f t="shared" si="3"/>
        <v>3.5394293128646859</v>
      </c>
      <c r="H48" s="4">
        <f t="shared" si="4"/>
        <v>5.0148615068255319E-3</v>
      </c>
    </row>
    <row r="49" spans="3:8" x14ac:dyDescent="0.2">
      <c r="C49" s="2">
        <v>34</v>
      </c>
      <c r="D49" s="2">
        <f t="shared" si="0"/>
        <v>3.5394293128646859</v>
      </c>
      <c r="E49" s="2">
        <f t="shared" si="1"/>
        <v>35.582679582297345</v>
      </c>
      <c r="F49" s="2">
        <f t="shared" si="2"/>
        <v>1966.0721886391439</v>
      </c>
      <c r="G49" s="2">
        <f t="shared" si="3"/>
        <v>3.5213309542245961</v>
      </c>
      <c r="H49" s="4">
        <f t="shared" si="4"/>
        <v>5.1396358011668603E-3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30"/>
  <sheetViews>
    <sheetView workbookViewId="0">
      <selection activeCell="I12" sqref="I12"/>
    </sheetView>
  </sheetViews>
  <sheetFormatPr baseColWidth="10" defaultColWidth="12.5703125" defaultRowHeight="15" customHeight="1" x14ac:dyDescent="0.2"/>
  <cols>
    <col min="1" max="1" width="17.140625" customWidth="1"/>
    <col min="9" max="9" width="15.7109375" customWidth="1"/>
  </cols>
  <sheetData>
    <row r="1" spans="1:9" x14ac:dyDescent="0.2">
      <c r="A1" s="7" t="s">
        <v>33</v>
      </c>
    </row>
    <row r="4" spans="1:9" x14ac:dyDescent="0.2">
      <c r="B4" s="8"/>
      <c r="C4" s="8"/>
      <c r="D4" s="8"/>
      <c r="E4" s="8"/>
      <c r="F4" s="8"/>
      <c r="G4" s="8"/>
      <c r="H4" s="8"/>
      <c r="I4" s="8"/>
    </row>
    <row r="5" spans="1:9" x14ac:dyDescent="0.2">
      <c r="B5" s="8"/>
      <c r="C5" s="8"/>
      <c r="D5" s="8"/>
      <c r="E5" s="8"/>
      <c r="F5" s="8"/>
      <c r="G5" s="8"/>
      <c r="H5" s="8"/>
      <c r="I5" s="8"/>
    </row>
    <row r="6" spans="1:9" x14ac:dyDescent="0.2">
      <c r="B6" s="8"/>
      <c r="C6" s="8"/>
      <c r="D6" s="9"/>
      <c r="E6" s="9"/>
      <c r="F6" s="9" t="s">
        <v>34</v>
      </c>
      <c r="G6" s="9" t="s">
        <v>3</v>
      </c>
      <c r="H6" s="8"/>
      <c r="I6" s="8"/>
    </row>
    <row r="7" spans="1:9" x14ac:dyDescent="0.2">
      <c r="B7" s="8"/>
      <c r="C7" s="8"/>
      <c r="D7" s="10" t="s">
        <v>35</v>
      </c>
      <c r="E7" s="10"/>
      <c r="F7" s="9" t="s">
        <v>36</v>
      </c>
      <c r="G7" s="9"/>
      <c r="H7" s="8"/>
      <c r="I7" s="8"/>
    </row>
    <row r="8" spans="1:9" x14ac:dyDescent="0.2">
      <c r="B8" s="8"/>
      <c r="C8" s="8"/>
      <c r="D8" s="10" t="s">
        <v>37</v>
      </c>
      <c r="E8" s="10"/>
      <c r="F8" s="11">
        <v>0.9</v>
      </c>
      <c r="G8" s="9"/>
      <c r="H8" s="8"/>
      <c r="I8" s="8"/>
    </row>
    <row r="9" spans="1:9" x14ac:dyDescent="0.2">
      <c r="B9" s="8"/>
      <c r="C9" s="8"/>
      <c r="D9" s="10" t="s">
        <v>38</v>
      </c>
      <c r="E9" s="10"/>
      <c r="F9" s="11">
        <v>1.5</v>
      </c>
      <c r="G9" s="9"/>
      <c r="H9" s="8"/>
      <c r="I9" s="8"/>
    </row>
    <row r="10" spans="1:9" x14ac:dyDescent="0.2">
      <c r="B10" s="8"/>
      <c r="C10" s="8"/>
      <c r="D10" s="10" t="s">
        <v>39</v>
      </c>
      <c r="E10" s="10"/>
      <c r="F10" s="12">
        <v>0.05</v>
      </c>
      <c r="G10" s="9"/>
      <c r="H10" s="8"/>
      <c r="I10" s="8"/>
    </row>
    <row r="11" spans="1:9" x14ac:dyDescent="0.2">
      <c r="B11" s="8"/>
      <c r="C11" s="8"/>
      <c r="D11" s="8"/>
      <c r="E11" s="8"/>
      <c r="F11" s="8"/>
      <c r="G11" s="8"/>
      <c r="H11" s="8"/>
      <c r="I11" s="8" t="s">
        <v>69</v>
      </c>
    </row>
    <row r="12" spans="1:9" x14ac:dyDescent="0.2">
      <c r="B12" s="8"/>
      <c r="C12" s="8"/>
      <c r="D12" s="8"/>
      <c r="E12" s="8"/>
      <c r="F12" s="8"/>
      <c r="G12" s="8"/>
      <c r="H12" s="8"/>
      <c r="I12" t="b">
        <f>(F8*F9)&lt;0</f>
        <v>0</v>
      </c>
    </row>
    <row r="13" spans="1:9" x14ac:dyDescent="0.2">
      <c r="B13" s="8"/>
      <c r="C13" s="8"/>
      <c r="D13" s="8"/>
      <c r="E13" s="8"/>
      <c r="F13" s="8"/>
      <c r="G13" s="8"/>
      <c r="H13" s="8"/>
      <c r="I13" s="8"/>
    </row>
    <row r="14" spans="1:9" x14ac:dyDescent="0.2">
      <c r="B14" s="32"/>
      <c r="C14" s="8"/>
      <c r="D14" s="8"/>
      <c r="E14" s="8"/>
      <c r="F14" s="8"/>
      <c r="G14" s="8" t="s">
        <v>40</v>
      </c>
      <c r="H14" s="8"/>
      <c r="I14" s="8"/>
    </row>
    <row r="15" spans="1:9" x14ac:dyDescent="0.2">
      <c r="B15" s="8"/>
      <c r="C15" s="8"/>
      <c r="D15" s="8"/>
      <c r="E15" s="8"/>
      <c r="F15" s="8"/>
      <c r="G15" s="8"/>
      <c r="H15" s="8"/>
      <c r="I15" s="8"/>
    </row>
    <row r="16" spans="1:9" x14ac:dyDescent="0.2">
      <c r="B16" s="8"/>
      <c r="C16" s="8"/>
      <c r="D16" s="8"/>
      <c r="E16" s="8"/>
      <c r="F16" s="8"/>
      <c r="G16" s="8"/>
      <c r="H16" s="8"/>
      <c r="I16" s="8"/>
    </row>
    <row r="17" spans="2:9" x14ac:dyDescent="0.2">
      <c r="B17" s="8"/>
      <c r="C17" s="8"/>
      <c r="D17" s="8"/>
      <c r="E17" s="8"/>
      <c r="F17" s="8"/>
      <c r="G17" s="8"/>
      <c r="H17" s="8"/>
      <c r="I17" s="8"/>
    </row>
    <row r="18" spans="2:9" x14ac:dyDescent="0.2">
      <c r="B18" s="8"/>
      <c r="C18" s="8"/>
      <c r="D18" s="8"/>
      <c r="E18" s="8"/>
      <c r="F18" s="8"/>
      <c r="G18" s="8"/>
      <c r="H18" s="8"/>
      <c r="I18" s="8"/>
    </row>
    <row r="19" spans="2:9" x14ac:dyDescent="0.2">
      <c r="B19" s="8"/>
      <c r="C19" s="8"/>
      <c r="D19" s="8"/>
      <c r="E19" s="8"/>
      <c r="F19" s="8"/>
      <c r="G19" s="8"/>
      <c r="H19" s="8"/>
      <c r="I19" s="8"/>
    </row>
    <row r="20" spans="2:9" x14ac:dyDescent="0.2">
      <c r="B20" s="13" t="s">
        <v>41</v>
      </c>
      <c r="C20" s="13" t="s">
        <v>42</v>
      </c>
      <c r="D20" s="13" t="s">
        <v>43</v>
      </c>
      <c r="E20" s="13" t="s">
        <v>44</v>
      </c>
      <c r="F20" s="13" t="s">
        <v>45</v>
      </c>
      <c r="G20" s="13" t="s">
        <v>46</v>
      </c>
      <c r="H20" s="13" t="s">
        <v>47</v>
      </c>
      <c r="I20" s="8"/>
    </row>
    <row r="21" spans="2:9" x14ac:dyDescent="0.2">
      <c r="B21" s="11">
        <f>F8</f>
        <v>0.9</v>
      </c>
      <c r="C21" s="11">
        <f>F9</f>
        <v>1.5</v>
      </c>
      <c r="D21" s="11">
        <f t="shared" ref="D21:E26" si="0">2*(B21*B21)-3</f>
        <v>-1.38</v>
      </c>
      <c r="E21" s="11">
        <f t="shared" si="0"/>
        <v>1.5</v>
      </c>
      <c r="F21" s="11">
        <f t="shared" ref="F21:F26" si="1">(B21+C21)/2</f>
        <v>1.2</v>
      </c>
      <c r="G21" s="11">
        <f t="shared" ref="G21:G26" si="2">D21*E21</f>
        <v>-2.0699999999999998</v>
      </c>
      <c r="H21" s="11">
        <f t="shared" ref="H21:H26" si="3">1-F21</f>
        <v>-0.19999999999999996</v>
      </c>
      <c r="I21" s="8"/>
    </row>
    <row r="22" spans="2:9" x14ac:dyDescent="0.2">
      <c r="B22" s="11">
        <f>IF(G21&lt;0,B21,F21)</f>
        <v>0.9</v>
      </c>
      <c r="C22" s="11">
        <f>IF(G21&gt;0,D21,F21)</f>
        <v>1.2</v>
      </c>
      <c r="D22" s="11">
        <f t="shared" si="0"/>
        <v>-1.38</v>
      </c>
      <c r="E22" s="11">
        <f t="shared" si="0"/>
        <v>-0.12000000000000011</v>
      </c>
      <c r="F22" s="11">
        <f t="shared" si="1"/>
        <v>1.05</v>
      </c>
      <c r="G22" s="11">
        <f t="shared" si="2"/>
        <v>0.16560000000000014</v>
      </c>
      <c r="H22" s="11">
        <f t="shared" si="3"/>
        <v>-5.0000000000000044E-2</v>
      </c>
      <c r="I22" s="8"/>
    </row>
    <row r="23" spans="2:9" x14ac:dyDescent="0.2">
      <c r="B23" s="11">
        <f>IF(G22&lt;0,B22,F22)</f>
        <v>1.05</v>
      </c>
      <c r="C23" s="11">
        <f>IF(G22&gt;0,D22,F22)</f>
        <v>-1.38</v>
      </c>
      <c r="D23" s="11">
        <f t="shared" si="0"/>
        <v>-0.79499999999999993</v>
      </c>
      <c r="E23" s="11">
        <f t="shared" si="0"/>
        <v>0.8087999999999993</v>
      </c>
      <c r="F23" s="11">
        <f t="shared" si="1"/>
        <v>-0.16499999999999992</v>
      </c>
      <c r="G23" s="11">
        <f t="shared" si="2"/>
        <v>-0.64299599999999935</v>
      </c>
      <c r="H23" s="11">
        <f t="shared" si="3"/>
        <v>1.165</v>
      </c>
      <c r="I23" s="8"/>
    </row>
    <row r="24" spans="2:9" x14ac:dyDescent="0.2">
      <c r="B24" s="11">
        <f>IF(G23&lt;0,B23,F23)</f>
        <v>1.05</v>
      </c>
      <c r="C24" s="11">
        <f>IF(G23&gt;0,D23,F23)</f>
        <v>-0.16499999999999992</v>
      </c>
      <c r="D24" s="11">
        <f t="shared" si="0"/>
        <v>-0.79499999999999993</v>
      </c>
      <c r="E24" s="11">
        <f t="shared" si="0"/>
        <v>-2.9455499999999999</v>
      </c>
      <c r="F24" s="11">
        <f t="shared" si="1"/>
        <v>0.44250000000000006</v>
      </c>
      <c r="G24" s="11">
        <f t="shared" si="2"/>
        <v>2.3417122499999996</v>
      </c>
      <c r="H24" s="11">
        <f t="shared" si="3"/>
        <v>0.55749999999999988</v>
      </c>
      <c r="I24" s="8"/>
    </row>
    <row r="25" spans="2:9" x14ac:dyDescent="0.2">
      <c r="B25" s="11">
        <f>IF(G24&lt;0,B24,F24)</f>
        <v>0.44250000000000006</v>
      </c>
      <c r="C25" s="11">
        <f>IF(G24&gt;0,D24,F24)</f>
        <v>-0.79499999999999993</v>
      </c>
      <c r="D25" s="11">
        <f t="shared" si="0"/>
        <v>-2.6083875000000001</v>
      </c>
      <c r="E25" s="11">
        <f t="shared" si="0"/>
        <v>-1.7359500000000003</v>
      </c>
      <c r="F25" s="11">
        <f t="shared" si="1"/>
        <v>-0.17624999999999993</v>
      </c>
      <c r="G25" s="11">
        <f t="shared" si="2"/>
        <v>4.5280302806250008</v>
      </c>
      <c r="H25" s="11">
        <f t="shared" si="3"/>
        <v>1.17625</v>
      </c>
      <c r="I25" s="8"/>
    </row>
    <row r="26" spans="2:9" x14ac:dyDescent="0.2">
      <c r="B26" s="11">
        <f>IF(G25&lt;0,B25,F25)</f>
        <v>-0.17624999999999993</v>
      </c>
      <c r="C26" s="11">
        <f>IF(G25&gt;0,D25,F25)</f>
        <v>-2.6083875000000001</v>
      </c>
      <c r="D26" s="11">
        <f t="shared" si="0"/>
        <v>-2.9378718749999999</v>
      </c>
      <c r="E26" s="11">
        <f t="shared" si="0"/>
        <v>10.607370700312501</v>
      </c>
      <c r="F26" s="11">
        <f t="shared" si="1"/>
        <v>-1.39231875</v>
      </c>
      <c r="G26" s="11">
        <f t="shared" si="2"/>
        <v>-31.16309604814715</v>
      </c>
      <c r="H26" s="11">
        <f t="shared" si="3"/>
        <v>2.3923187500000003</v>
      </c>
      <c r="I26" s="8"/>
    </row>
    <row r="27" spans="2:9" x14ac:dyDescent="0.2">
      <c r="B27" s="8"/>
      <c r="C27" s="8"/>
      <c r="D27" s="8"/>
      <c r="E27" s="8"/>
      <c r="F27" s="8"/>
      <c r="G27" s="8"/>
      <c r="H27" s="8"/>
      <c r="I27" s="8"/>
    </row>
    <row r="28" spans="2:9" x14ac:dyDescent="0.2">
      <c r="B28" s="8"/>
      <c r="C28" s="8"/>
      <c r="D28" s="8"/>
      <c r="E28" s="8"/>
      <c r="F28" s="8"/>
      <c r="G28" s="8"/>
      <c r="H28" s="8"/>
      <c r="I28" s="8"/>
    </row>
    <row r="29" spans="2:9" x14ac:dyDescent="0.2">
      <c r="B29" s="8"/>
      <c r="C29" s="8"/>
      <c r="D29" s="8"/>
      <c r="E29" s="8"/>
      <c r="F29" s="8"/>
      <c r="G29" s="8"/>
      <c r="H29" s="8"/>
      <c r="I29" s="8"/>
    </row>
    <row r="30" spans="2:9" x14ac:dyDescent="0.2">
      <c r="B30" s="8"/>
      <c r="C30" s="8"/>
      <c r="D30" s="8"/>
      <c r="E30" s="8"/>
      <c r="F30" s="8"/>
      <c r="G30" s="8"/>
      <c r="H30" s="8"/>
      <c r="I30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370A4-8418-4182-B35B-56C013B31619}">
  <dimension ref="A1:I33"/>
  <sheetViews>
    <sheetView zoomScale="108" workbookViewId="0">
      <selection activeCell="I13" sqref="I13:I14"/>
    </sheetView>
  </sheetViews>
  <sheetFormatPr baseColWidth="10" defaultRowHeight="12.75" x14ac:dyDescent="0.2"/>
  <cols>
    <col min="1" max="1" width="19" customWidth="1"/>
    <col min="2" max="6" width="11.5703125" bestFit="1" customWidth="1"/>
    <col min="7" max="7" width="13.42578125" bestFit="1" customWidth="1"/>
    <col min="8" max="8" width="14.28515625" customWidth="1"/>
    <col min="9" max="9" width="15.7109375" customWidth="1"/>
  </cols>
  <sheetData>
    <row r="1" spans="1:9" x14ac:dyDescent="0.2">
      <c r="A1" s="7" t="s">
        <v>33</v>
      </c>
    </row>
    <row r="3" spans="1:9" x14ac:dyDescent="0.2">
      <c r="A3" t="s">
        <v>59</v>
      </c>
    </row>
    <row r="4" spans="1:9" x14ac:dyDescent="0.2">
      <c r="B4" s="8"/>
      <c r="C4" s="8"/>
      <c r="D4" s="8"/>
      <c r="E4" s="8"/>
      <c r="F4" s="8"/>
      <c r="G4" s="8"/>
      <c r="H4" s="8"/>
    </row>
    <row r="5" spans="1:9" x14ac:dyDescent="0.2">
      <c r="B5" s="8"/>
      <c r="C5" s="8"/>
      <c r="D5" s="8"/>
      <c r="E5" s="8"/>
      <c r="F5" s="8"/>
      <c r="G5" s="8"/>
      <c r="H5" s="8"/>
    </row>
    <row r="6" spans="1:9" x14ac:dyDescent="0.2">
      <c r="B6" s="8"/>
      <c r="C6" s="8"/>
      <c r="D6" s="9"/>
      <c r="E6" s="9"/>
      <c r="F6" s="9" t="s">
        <v>34</v>
      </c>
      <c r="G6" s="17" t="s">
        <v>3</v>
      </c>
      <c r="H6" s="8"/>
    </row>
    <row r="7" spans="1:9" x14ac:dyDescent="0.2">
      <c r="B7" s="8"/>
      <c r="C7" s="8"/>
      <c r="D7" s="18" t="s">
        <v>35</v>
      </c>
      <c r="E7" s="18"/>
      <c r="F7" s="17" t="s">
        <v>60</v>
      </c>
      <c r="G7" s="9"/>
      <c r="H7" s="8"/>
    </row>
    <row r="8" spans="1:9" x14ac:dyDescent="0.2">
      <c r="B8" s="8"/>
      <c r="C8" s="8"/>
      <c r="D8" s="18" t="s">
        <v>37</v>
      </c>
      <c r="E8" s="18"/>
      <c r="F8" s="11">
        <v>0</v>
      </c>
      <c r="G8" s="9"/>
      <c r="H8" s="8"/>
    </row>
    <row r="9" spans="1:9" x14ac:dyDescent="0.2">
      <c r="B9" s="8"/>
      <c r="C9" s="8"/>
      <c r="D9" s="18" t="s">
        <v>38</v>
      </c>
      <c r="E9" s="18"/>
      <c r="F9" s="11">
        <v>1.4</v>
      </c>
      <c r="G9" s="9"/>
      <c r="H9" s="8"/>
    </row>
    <row r="10" spans="1:9" x14ac:dyDescent="0.2">
      <c r="B10" s="8"/>
      <c r="C10" s="8"/>
      <c r="D10" s="18" t="s">
        <v>39</v>
      </c>
      <c r="E10" s="18"/>
      <c r="F10" s="12">
        <v>0.05</v>
      </c>
      <c r="G10" s="9"/>
      <c r="H10" s="8"/>
    </row>
    <row r="11" spans="1:9" x14ac:dyDescent="0.2">
      <c r="B11" s="8"/>
      <c r="C11" s="8"/>
      <c r="D11" s="8"/>
      <c r="E11" s="8"/>
      <c r="F11" s="8"/>
      <c r="G11" s="8"/>
      <c r="H11" s="8"/>
    </row>
    <row r="12" spans="1:9" x14ac:dyDescent="0.2">
      <c r="B12" s="8"/>
      <c r="C12" s="8"/>
      <c r="D12" s="8"/>
      <c r="E12" s="8"/>
      <c r="F12" s="8"/>
      <c r="G12" s="8"/>
      <c r="H12" s="8"/>
    </row>
    <row r="13" spans="1:9" x14ac:dyDescent="0.2">
      <c r="B13" s="8"/>
      <c r="C13" s="8"/>
      <c r="D13" s="8"/>
      <c r="E13" s="8"/>
      <c r="F13" s="8"/>
      <c r="G13" s="8"/>
      <c r="H13" s="8"/>
      <c r="I13" s="8" t="s">
        <v>69</v>
      </c>
    </row>
    <row r="14" spans="1:9" x14ac:dyDescent="0.2">
      <c r="B14" s="8"/>
      <c r="C14" s="8"/>
      <c r="D14" s="8"/>
      <c r="E14" s="8"/>
      <c r="F14" s="8"/>
      <c r="G14" s="8" t="s">
        <v>40</v>
      </c>
      <c r="H14" s="8"/>
      <c r="I14" t="b">
        <f>(F8*F9)&lt;0</f>
        <v>0</v>
      </c>
    </row>
    <row r="15" spans="1:9" x14ac:dyDescent="0.2">
      <c r="B15" s="8"/>
      <c r="C15" s="8"/>
      <c r="D15" s="8"/>
      <c r="E15" s="8"/>
      <c r="F15" s="8"/>
      <c r="G15" s="8"/>
      <c r="H15" s="8"/>
    </row>
    <row r="16" spans="1:9" x14ac:dyDescent="0.2">
      <c r="B16" s="8"/>
      <c r="C16" s="8"/>
      <c r="D16" s="8"/>
      <c r="E16" s="8"/>
      <c r="F16" s="8"/>
      <c r="G16" s="8"/>
      <c r="H16" s="8"/>
    </row>
    <row r="17" spans="1:8" x14ac:dyDescent="0.2">
      <c r="B17" s="8"/>
      <c r="C17" s="8"/>
      <c r="D17" s="8"/>
      <c r="E17" s="8"/>
      <c r="F17" s="8"/>
      <c r="G17" s="8"/>
      <c r="H17" s="8"/>
    </row>
    <row r="18" spans="1:8" x14ac:dyDescent="0.2">
      <c r="B18" s="8"/>
      <c r="C18" s="8"/>
      <c r="D18" s="8"/>
      <c r="E18" s="8"/>
      <c r="F18" s="8"/>
      <c r="G18" s="8"/>
      <c r="H18" s="8"/>
    </row>
    <row r="19" spans="1:8" x14ac:dyDescent="0.2">
      <c r="B19" s="8"/>
      <c r="C19" s="8"/>
      <c r="D19" s="8"/>
      <c r="E19" s="8"/>
      <c r="F19" s="8"/>
      <c r="G19" s="8"/>
      <c r="H19" s="8"/>
    </row>
    <row r="20" spans="1:8" x14ac:dyDescent="0.2">
      <c r="A20" s="19" t="s">
        <v>61</v>
      </c>
      <c r="B20" s="25" t="s">
        <v>62</v>
      </c>
      <c r="C20" s="26" t="s">
        <v>63</v>
      </c>
      <c r="D20" s="27" t="s">
        <v>64</v>
      </c>
      <c r="E20" s="26" t="s">
        <v>65</v>
      </c>
      <c r="F20" s="26" t="s">
        <v>66</v>
      </c>
      <c r="G20" s="27" t="s">
        <v>67</v>
      </c>
      <c r="H20" s="27" t="s">
        <v>68</v>
      </c>
    </row>
    <row r="21" spans="1:8" x14ac:dyDescent="0.2">
      <c r="A21" s="22">
        <v>1</v>
      </c>
      <c r="B21" s="23">
        <f>F8</f>
        <v>0</v>
      </c>
      <c r="C21" s="21">
        <f>F9</f>
        <v>1.4</v>
      </c>
      <c r="D21" s="21">
        <f>(B21+C21)/2</f>
        <v>0.7</v>
      </c>
      <c r="E21" s="21">
        <f>(B21^10)-1</f>
        <v>-1</v>
      </c>
      <c r="F21" s="21">
        <f>(D21^10)-1</f>
        <v>-0.97175247510000007</v>
      </c>
      <c r="G21" s="21">
        <f>E21*F21</f>
        <v>0.97175247510000007</v>
      </c>
      <c r="H21" s="21"/>
    </row>
    <row r="22" spans="1:8" x14ac:dyDescent="0.2">
      <c r="A22" s="20">
        <v>2</v>
      </c>
      <c r="B22" s="24">
        <f>IF(G21&lt;0,B21,D21)</f>
        <v>0.7</v>
      </c>
      <c r="C22" s="24">
        <f>IF(G21&gt;0,C21,D21)</f>
        <v>1.4</v>
      </c>
      <c r="D22" s="21">
        <f>(B22+C22)/2</f>
        <v>1.0499999999999998</v>
      </c>
      <c r="E22" s="21">
        <f>(B22^10)-1</f>
        <v>-0.97175247510000007</v>
      </c>
      <c r="F22" s="21">
        <f>(D22^10)-1</f>
        <v>0.62889462677743846</v>
      </c>
      <c r="G22" s="21">
        <f>E22*F22</f>
        <v>-0.61112991014806661</v>
      </c>
      <c r="H22" s="24">
        <f>((D22-D21)/D22)*100</f>
        <v>33.333333333333329</v>
      </c>
    </row>
    <row r="23" spans="1:8" x14ac:dyDescent="0.2">
      <c r="A23" s="20">
        <v>3</v>
      </c>
      <c r="B23" s="24">
        <f t="shared" ref="B23:B33" si="0">IF(G22&lt;0,B22,D22)</f>
        <v>0.7</v>
      </c>
      <c r="C23" s="24">
        <f t="shared" ref="C23:C33" si="1">IF(G22&gt;0,C22,D22)</f>
        <v>1.0499999999999998</v>
      </c>
      <c r="D23" s="21">
        <f t="shared" ref="D23:D33" si="2">(B23+C23)/2</f>
        <v>0.87499999999999989</v>
      </c>
      <c r="E23" s="21">
        <f t="shared" ref="E23:E33" si="3">(B23^10)-1</f>
        <v>-0.97175247510000007</v>
      </c>
      <c r="F23" s="21">
        <f t="shared" ref="F23:F33" si="4">(D23^10)-1</f>
        <v>-0.73692442383617207</v>
      </c>
      <c r="G23" s="21">
        <f t="shared" ref="G23:G33" si="5">E23*F23</f>
        <v>0.71610813282444175</v>
      </c>
      <c r="H23" s="24">
        <f>((D23-D22)/D23)*100</f>
        <v>-19.999999999999996</v>
      </c>
    </row>
    <row r="24" spans="1:8" x14ac:dyDescent="0.2">
      <c r="A24" s="20">
        <v>4</v>
      </c>
      <c r="B24" s="24">
        <f t="shared" si="0"/>
        <v>0.87499999999999989</v>
      </c>
      <c r="C24" s="24">
        <f t="shared" si="1"/>
        <v>1.0499999999999998</v>
      </c>
      <c r="D24" s="21">
        <f t="shared" si="2"/>
        <v>0.96249999999999991</v>
      </c>
      <c r="E24" s="21">
        <f t="shared" si="3"/>
        <v>-0.73692442383617207</v>
      </c>
      <c r="F24" s="21">
        <f t="shared" si="4"/>
        <v>-0.31764970788860736</v>
      </c>
      <c r="G24" s="21">
        <f t="shared" si="5"/>
        <v>0.23408382796754035</v>
      </c>
      <c r="H24" s="24">
        <f t="shared" ref="H24:H33" si="6">((D24-D23)/D24)*100</f>
        <v>9.0909090909090935</v>
      </c>
    </row>
    <row r="25" spans="1:8" x14ac:dyDescent="0.2">
      <c r="A25" s="20">
        <v>5</v>
      </c>
      <c r="B25" s="24">
        <f t="shared" si="0"/>
        <v>0.96249999999999991</v>
      </c>
      <c r="C25" s="24">
        <f t="shared" si="1"/>
        <v>1.0499999999999998</v>
      </c>
      <c r="D25" s="21">
        <f t="shared" si="2"/>
        <v>1.0062499999999999</v>
      </c>
      <c r="E25" s="21">
        <f t="shared" si="3"/>
        <v>-0.31764970788860736</v>
      </c>
      <c r="F25" s="21">
        <f t="shared" si="4"/>
        <v>6.4287432225389685E-2</v>
      </c>
      <c r="G25" s="21">
        <f t="shared" si="5"/>
        <v>-2.0420884067303677E-2</v>
      </c>
      <c r="H25" s="24">
        <f t="shared" si="6"/>
        <v>4.347826086956518</v>
      </c>
    </row>
    <row r="26" spans="1:8" x14ac:dyDescent="0.2">
      <c r="A26" s="20">
        <v>6</v>
      </c>
      <c r="B26" s="24">
        <f t="shared" si="0"/>
        <v>0.96249999999999991</v>
      </c>
      <c r="C26" s="24">
        <f t="shared" si="1"/>
        <v>1.0062499999999999</v>
      </c>
      <c r="D26" s="21">
        <f t="shared" si="2"/>
        <v>0.98437499999999989</v>
      </c>
      <c r="E26" s="21">
        <f t="shared" si="3"/>
        <v>-0.31764970788860736</v>
      </c>
      <c r="F26" s="21">
        <f t="shared" si="4"/>
        <v>-0.14570915023598541</v>
      </c>
      <c r="G26" s="21">
        <f t="shared" si="5"/>
        <v>4.6284469009157968E-2</v>
      </c>
      <c r="H26" s="24">
        <f t="shared" si="6"/>
        <v>-2.2222222222222201</v>
      </c>
    </row>
    <row r="27" spans="1:8" x14ac:dyDescent="0.2">
      <c r="A27" s="20">
        <v>7</v>
      </c>
      <c r="B27" s="24">
        <f t="shared" si="0"/>
        <v>0.98437499999999989</v>
      </c>
      <c r="C27" s="24">
        <f t="shared" si="1"/>
        <v>1.0062499999999999</v>
      </c>
      <c r="D27" s="21">
        <f t="shared" si="2"/>
        <v>0.99531249999999982</v>
      </c>
      <c r="E27" s="21">
        <f t="shared" si="3"/>
        <v>-0.14570915023598541</v>
      </c>
      <c r="F27" s="21">
        <f t="shared" si="4"/>
        <v>-4.5898489268474396E-2</v>
      </c>
      <c r="G27" s="21">
        <f t="shared" si="5"/>
        <v>6.6878298684248999E-3</v>
      </c>
      <c r="H27" s="24">
        <f t="shared" si="6"/>
        <v>1.0989010989010923</v>
      </c>
    </row>
    <row r="28" spans="1:8" x14ac:dyDescent="0.2">
      <c r="A28" s="28">
        <v>8</v>
      </c>
      <c r="B28" s="29">
        <f t="shared" si="0"/>
        <v>0.99531249999999982</v>
      </c>
      <c r="C28" s="29">
        <f t="shared" si="1"/>
        <v>1.0062499999999999</v>
      </c>
      <c r="D28" s="30">
        <f t="shared" si="2"/>
        <v>1.0007812499999997</v>
      </c>
      <c r="E28" s="30">
        <f t="shared" si="3"/>
        <v>-4.5898489268474396E-2</v>
      </c>
      <c r="F28" s="30">
        <f t="shared" si="4"/>
        <v>7.8400231190729475E-3</v>
      </c>
      <c r="G28" s="30">
        <f t="shared" si="5"/>
        <v>-3.5984521699536083E-4</v>
      </c>
      <c r="H28" s="29">
        <f t="shared" si="6"/>
        <v>0.54644808743168527</v>
      </c>
    </row>
    <row r="29" spans="1:8" x14ac:dyDescent="0.2">
      <c r="A29" s="20">
        <v>9</v>
      </c>
      <c r="B29" s="24">
        <f t="shared" si="0"/>
        <v>0.99531249999999982</v>
      </c>
      <c r="C29" s="24">
        <f t="shared" si="1"/>
        <v>1.0007812499999997</v>
      </c>
      <c r="D29" s="21">
        <f t="shared" si="2"/>
        <v>0.99804687499999978</v>
      </c>
      <c r="E29" s="21">
        <f t="shared" si="3"/>
        <v>-4.5898489268474396E-2</v>
      </c>
      <c r="F29" s="21">
        <f t="shared" si="4"/>
        <v>-1.9360479643969142E-2</v>
      </c>
      <c r="G29" s="21">
        <f t="shared" si="5"/>
        <v>8.8861676717123469E-4</v>
      </c>
      <c r="H29" s="24">
        <f t="shared" si="6"/>
        <v>-0.27397260273972163</v>
      </c>
    </row>
    <row r="30" spans="1:8" x14ac:dyDescent="0.2">
      <c r="A30" s="20">
        <v>10</v>
      </c>
      <c r="B30" s="24">
        <f t="shared" si="0"/>
        <v>0.99804687499999978</v>
      </c>
      <c r="C30" s="24">
        <f t="shared" si="1"/>
        <v>1.0007812499999997</v>
      </c>
      <c r="D30" s="21">
        <f t="shared" si="2"/>
        <v>0.99941406249999976</v>
      </c>
      <c r="E30" s="21">
        <f t="shared" si="3"/>
        <v>-1.9360479643969142E-2</v>
      </c>
      <c r="F30" s="21">
        <f t="shared" si="4"/>
        <v>-5.8439495912223638E-3</v>
      </c>
      <c r="G30" s="21">
        <f t="shared" si="5"/>
        <v>1.1314166710124236E-4</v>
      </c>
      <c r="H30" s="24">
        <f t="shared" si="6"/>
        <v>0.13679890560875294</v>
      </c>
    </row>
    <row r="31" spans="1:8" x14ac:dyDescent="0.2">
      <c r="A31" s="20">
        <v>11</v>
      </c>
      <c r="B31" s="24">
        <f t="shared" si="0"/>
        <v>0.99941406249999976</v>
      </c>
      <c r="C31" s="24">
        <f t="shared" si="1"/>
        <v>1.0007812499999997</v>
      </c>
      <c r="D31" s="21">
        <f t="shared" si="2"/>
        <v>1.0000976562499997</v>
      </c>
      <c r="E31" s="21">
        <f t="shared" si="3"/>
        <v>-5.8439495912223638E-3</v>
      </c>
      <c r="F31" s="21">
        <f t="shared" si="4"/>
        <v>9.7699176521692799E-4</v>
      </c>
      <c r="G31" s="21">
        <f t="shared" si="5"/>
        <v>-5.7094906269670819E-6</v>
      </c>
      <c r="H31" s="24">
        <f t="shared" si="6"/>
        <v>6.8352699931640656E-2</v>
      </c>
    </row>
    <row r="32" spans="1:8" x14ac:dyDescent="0.2">
      <c r="A32" s="20">
        <v>12</v>
      </c>
      <c r="B32" s="24">
        <f t="shared" si="0"/>
        <v>0.99941406249999976</v>
      </c>
      <c r="C32" s="24">
        <f t="shared" si="1"/>
        <v>1.0000976562499997</v>
      </c>
      <c r="D32" s="21">
        <f t="shared" si="2"/>
        <v>0.99975585937499978</v>
      </c>
      <c r="E32" s="21">
        <f t="shared" si="3"/>
        <v>-5.8439495912223638E-3</v>
      </c>
      <c r="F32" s="21">
        <f t="shared" si="4"/>
        <v>-2.4387257864713074E-3</v>
      </c>
      <c r="G32" s="21">
        <f t="shared" si="5"/>
        <v>1.4251790562952434E-5</v>
      </c>
      <c r="H32" s="24">
        <f t="shared" si="6"/>
        <v>-3.4188034188025317E-2</v>
      </c>
    </row>
    <row r="33" spans="1:8" x14ac:dyDescent="0.2">
      <c r="A33" s="20">
        <v>13</v>
      </c>
      <c r="B33" s="24">
        <f t="shared" si="0"/>
        <v>0.99975585937499978</v>
      </c>
      <c r="C33" s="24">
        <f t="shared" si="1"/>
        <v>1.0000976562499997</v>
      </c>
      <c r="D33" s="21">
        <f t="shared" si="2"/>
        <v>0.99992675781249973</v>
      </c>
      <c r="E33" s="21">
        <f t="shared" si="3"/>
        <v>-2.4387257864713074E-3</v>
      </c>
      <c r="F33" s="21">
        <f t="shared" si="4"/>
        <v>-7.3218052333345884E-4</v>
      </c>
      <c r="G33" s="21">
        <f t="shared" si="5"/>
        <v>1.785587522605363E-6</v>
      </c>
      <c r="H33" s="24">
        <f t="shared" si="6"/>
        <v>1.7091095539219628E-2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0D85F-D659-4662-8B64-29296D3D6FC0}">
  <dimension ref="A1:I33"/>
  <sheetViews>
    <sheetView workbookViewId="0">
      <selection activeCell="I16" sqref="I15:I16"/>
    </sheetView>
  </sheetViews>
  <sheetFormatPr baseColWidth="10" defaultRowHeight="12.75" x14ac:dyDescent="0.2"/>
  <cols>
    <col min="9" max="9" width="15.85546875" customWidth="1"/>
  </cols>
  <sheetData>
    <row r="1" spans="1:9" x14ac:dyDescent="0.2">
      <c r="A1" s="7" t="s">
        <v>33</v>
      </c>
    </row>
    <row r="4" spans="1:9" x14ac:dyDescent="0.2">
      <c r="B4" s="8"/>
      <c r="C4" s="8"/>
      <c r="D4" s="8"/>
      <c r="E4" s="8"/>
      <c r="F4" s="8"/>
      <c r="G4" s="8"/>
      <c r="H4" s="8"/>
    </row>
    <row r="5" spans="1:9" x14ac:dyDescent="0.2">
      <c r="B5" s="8"/>
      <c r="C5" s="8"/>
      <c r="D5" s="8"/>
      <c r="E5" s="8"/>
      <c r="F5" s="8"/>
      <c r="G5" s="8"/>
      <c r="H5" s="8"/>
    </row>
    <row r="6" spans="1:9" x14ac:dyDescent="0.2">
      <c r="B6" s="8"/>
      <c r="C6" s="8"/>
      <c r="D6" s="9"/>
      <c r="E6" s="9"/>
      <c r="F6" s="9" t="s">
        <v>34</v>
      </c>
      <c r="G6" s="17" t="s">
        <v>3</v>
      </c>
      <c r="H6" s="8"/>
    </row>
    <row r="7" spans="1:9" x14ac:dyDescent="0.2">
      <c r="B7" s="8"/>
      <c r="C7" s="8"/>
      <c r="D7" s="18" t="s">
        <v>35</v>
      </c>
      <c r="E7" s="18"/>
      <c r="F7" s="17" t="s">
        <v>75</v>
      </c>
      <c r="G7" s="9"/>
      <c r="H7" s="8"/>
    </row>
    <row r="8" spans="1:9" x14ac:dyDescent="0.2">
      <c r="B8" s="8"/>
      <c r="C8" s="8"/>
      <c r="D8" s="18" t="s">
        <v>37</v>
      </c>
      <c r="E8" s="18"/>
      <c r="F8" s="11">
        <v>1</v>
      </c>
      <c r="G8" s="9"/>
      <c r="H8" s="8"/>
    </row>
    <row r="9" spans="1:9" x14ac:dyDescent="0.2">
      <c r="B9" s="8"/>
      <c r="C9" s="8"/>
      <c r="D9" s="18" t="s">
        <v>38</v>
      </c>
      <c r="E9" s="18"/>
      <c r="F9" s="11">
        <v>2</v>
      </c>
      <c r="G9" s="9"/>
      <c r="H9" s="8"/>
    </row>
    <row r="10" spans="1:9" x14ac:dyDescent="0.2">
      <c r="B10" s="8"/>
      <c r="C10" s="8"/>
      <c r="D10" s="18" t="s">
        <v>39</v>
      </c>
      <c r="E10" s="18"/>
      <c r="F10" s="12">
        <v>1E-4</v>
      </c>
      <c r="G10" s="9"/>
      <c r="H10" s="8"/>
    </row>
    <row r="11" spans="1:9" x14ac:dyDescent="0.2">
      <c r="B11" s="8"/>
      <c r="C11" s="8"/>
      <c r="D11" s="8"/>
      <c r="E11" s="8"/>
      <c r="F11" s="8"/>
      <c r="G11" s="8"/>
      <c r="H11" s="8"/>
    </row>
    <row r="12" spans="1:9" x14ac:dyDescent="0.2">
      <c r="B12" s="8"/>
      <c r="C12" s="8"/>
      <c r="D12" s="8"/>
      <c r="E12" s="8"/>
      <c r="F12" s="8"/>
      <c r="G12" s="8"/>
      <c r="H12" s="8"/>
    </row>
    <row r="13" spans="1:9" x14ac:dyDescent="0.2">
      <c r="B13" s="8"/>
      <c r="C13" s="8"/>
      <c r="D13" s="8"/>
      <c r="E13" s="8"/>
      <c r="F13" s="8"/>
      <c r="G13" s="8"/>
      <c r="H13" s="8"/>
    </row>
    <row r="14" spans="1:9" x14ac:dyDescent="0.2">
      <c r="B14" s="8"/>
      <c r="C14" s="8"/>
      <c r="D14" s="8"/>
      <c r="E14" s="8"/>
      <c r="F14" s="8"/>
      <c r="G14" s="8" t="s">
        <v>40</v>
      </c>
      <c r="H14" s="8"/>
    </row>
    <row r="15" spans="1:9" x14ac:dyDescent="0.2">
      <c r="B15" s="8"/>
      <c r="C15" s="8"/>
      <c r="D15" s="8"/>
      <c r="E15" s="8"/>
      <c r="F15" s="8"/>
      <c r="G15" s="8"/>
      <c r="H15" s="8"/>
      <c r="I15" s="8" t="s">
        <v>69</v>
      </c>
    </row>
    <row r="16" spans="1:9" x14ac:dyDescent="0.2">
      <c r="B16" s="8"/>
      <c r="C16" s="8"/>
      <c r="D16" s="8"/>
      <c r="E16" s="8"/>
      <c r="F16" s="8"/>
      <c r="G16" s="8"/>
      <c r="H16" s="8"/>
      <c r="I16" t="b">
        <f>(F8*F9)&lt;0</f>
        <v>0</v>
      </c>
    </row>
    <row r="17" spans="1:8" x14ac:dyDescent="0.2">
      <c r="B17" s="8"/>
      <c r="C17" s="8"/>
      <c r="D17" s="8"/>
      <c r="E17" s="8"/>
      <c r="F17" s="8"/>
      <c r="G17" s="8"/>
      <c r="H17" s="8"/>
    </row>
    <row r="18" spans="1:8" x14ac:dyDescent="0.2">
      <c r="B18" s="8"/>
      <c r="C18" s="8"/>
      <c r="D18" s="8"/>
      <c r="E18" s="8"/>
      <c r="F18" s="8"/>
      <c r="G18" s="8"/>
      <c r="H18" s="8"/>
    </row>
    <row r="19" spans="1:8" x14ac:dyDescent="0.2">
      <c r="B19" s="8"/>
      <c r="C19" s="8"/>
      <c r="D19" s="8"/>
      <c r="E19" s="8"/>
      <c r="F19" s="8"/>
      <c r="G19" s="8"/>
      <c r="H19" s="8"/>
    </row>
    <row r="20" spans="1:8" x14ac:dyDescent="0.2">
      <c r="A20" s="19" t="s">
        <v>61</v>
      </c>
      <c r="B20" s="25" t="s">
        <v>62</v>
      </c>
      <c r="C20" s="26" t="s">
        <v>63</v>
      </c>
      <c r="D20" s="27" t="s">
        <v>64</v>
      </c>
      <c r="E20" s="26" t="s">
        <v>65</v>
      </c>
      <c r="F20" s="26" t="s">
        <v>66</v>
      </c>
      <c r="G20" s="27" t="s">
        <v>67</v>
      </c>
      <c r="H20" s="27" t="s">
        <v>68</v>
      </c>
    </row>
    <row r="21" spans="1:8" x14ac:dyDescent="0.2">
      <c r="A21" s="22">
        <v>1</v>
      </c>
      <c r="B21" s="23">
        <f>F8</f>
        <v>1</v>
      </c>
      <c r="C21" s="21">
        <f>F9</f>
        <v>2</v>
      </c>
      <c r="D21" s="21">
        <f>(B21+C21)/2</f>
        <v>1.5</v>
      </c>
      <c r="E21" s="21">
        <f>(B21*B21)-2</f>
        <v>-1</v>
      </c>
      <c r="F21" s="21">
        <f>(D21*D21)-2</f>
        <v>0.25</v>
      </c>
      <c r="G21" s="21">
        <f>E21*F21</f>
        <v>-0.25</v>
      </c>
      <c r="H21" s="21"/>
    </row>
    <row r="22" spans="1:8" x14ac:dyDescent="0.2">
      <c r="A22" s="20">
        <v>2</v>
      </c>
      <c r="B22" s="24">
        <f>IF(G21&lt;0,B21,D21)</f>
        <v>1</v>
      </c>
      <c r="C22" s="24">
        <f>IF(G21&gt;0,C21,D21)</f>
        <v>1.5</v>
      </c>
      <c r="D22" s="21">
        <f>(B22+C22)/2</f>
        <v>1.25</v>
      </c>
      <c r="E22" s="21">
        <f>(B22*B22)-2</f>
        <v>-1</v>
      </c>
      <c r="F22" s="21">
        <f>(D22*D22)-2</f>
        <v>-0.4375</v>
      </c>
      <c r="G22" s="21">
        <f>E22*F22</f>
        <v>0.4375</v>
      </c>
      <c r="H22" s="24">
        <f>((D22-D21)/D22)*100</f>
        <v>-20</v>
      </c>
    </row>
    <row r="23" spans="1:8" x14ac:dyDescent="0.2">
      <c r="A23" s="20">
        <v>3</v>
      </c>
      <c r="B23" s="24">
        <f>IF(G22&lt;0,B22,D22)</f>
        <v>1.25</v>
      </c>
      <c r="C23" s="24">
        <f>IF(G22&gt;0,C22,D22)</f>
        <v>1.5</v>
      </c>
      <c r="D23" s="21">
        <f>(B23+C23)/2</f>
        <v>1.375</v>
      </c>
      <c r="E23" s="21">
        <f>(B23*B23)-2</f>
        <v>-0.4375</v>
      </c>
      <c r="F23" s="21">
        <f>(D23*D23)-2</f>
        <v>-0.109375</v>
      </c>
      <c r="G23" s="21">
        <f>E23*F23</f>
        <v>4.78515625E-2</v>
      </c>
      <c r="H23" s="24">
        <f>((D23-D22)/D23)*100</f>
        <v>9.0909090909090917</v>
      </c>
    </row>
    <row r="24" spans="1:8" x14ac:dyDescent="0.2">
      <c r="A24" s="20">
        <v>4</v>
      </c>
      <c r="B24" s="24">
        <f t="shared" ref="B24:B31" si="0">IF(G23&lt;0,B23,D23)</f>
        <v>1.375</v>
      </c>
      <c r="C24" s="24">
        <f t="shared" ref="C24:C31" si="1">IF(G23&gt;0,C23,D23)</f>
        <v>1.5</v>
      </c>
      <c r="D24" s="21">
        <f t="shared" ref="D24:D31" si="2">(B24+C24)/2</f>
        <v>1.4375</v>
      </c>
      <c r="E24" s="21">
        <f t="shared" ref="E24:E31" si="3">(B24*B24)-2</f>
        <v>-0.109375</v>
      </c>
      <c r="F24" s="21">
        <f t="shared" ref="F24:F31" si="4">(D24*D24)-2</f>
        <v>6.640625E-2</v>
      </c>
      <c r="G24" s="21">
        <f t="shared" ref="G24:G31" si="5">E24*F24</f>
        <v>-7.26318359375E-3</v>
      </c>
      <c r="H24" s="24">
        <f t="shared" ref="H24:H31" si="6">((D24-D23)/D24)*100</f>
        <v>4.3478260869565215</v>
      </c>
    </row>
    <row r="25" spans="1:8" x14ac:dyDescent="0.2">
      <c r="A25" s="20">
        <v>5</v>
      </c>
      <c r="B25" s="24">
        <f t="shared" si="0"/>
        <v>1.375</v>
      </c>
      <c r="C25" s="24">
        <f t="shared" si="1"/>
        <v>1.4375</v>
      </c>
      <c r="D25" s="21">
        <f t="shared" si="2"/>
        <v>1.40625</v>
      </c>
      <c r="E25" s="21">
        <f t="shared" si="3"/>
        <v>-0.109375</v>
      </c>
      <c r="F25" s="21">
        <f t="shared" si="4"/>
        <v>-2.24609375E-2</v>
      </c>
      <c r="G25" s="21">
        <f t="shared" si="5"/>
        <v>2.4566650390625E-3</v>
      </c>
      <c r="H25" s="24">
        <f t="shared" si="6"/>
        <v>-2.2222222222222223</v>
      </c>
    </row>
    <row r="26" spans="1:8" x14ac:dyDescent="0.2">
      <c r="A26" s="20">
        <v>6</v>
      </c>
      <c r="B26" s="24">
        <f t="shared" si="0"/>
        <v>1.40625</v>
      </c>
      <c r="C26" s="24">
        <f t="shared" si="1"/>
        <v>1.4375</v>
      </c>
      <c r="D26" s="21">
        <f t="shared" si="2"/>
        <v>1.421875</v>
      </c>
      <c r="E26" s="21">
        <f t="shared" si="3"/>
        <v>-2.24609375E-2</v>
      </c>
      <c r="F26" s="21">
        <f t="shared" si="4"/>
        <v>2.1728515625E-2</v>
      </c>
      <c r="G26" s="21">
        <f t="shared" si="5"/>
        <v>-4.8804283142089844E-4</v>
      </c>
      <c r="H26" s="24">
        <f t="shared" si="6"/>
        <v>1.098901098901099</v>
      </c>
    </row>
    <row r="27" spans="1:8" x14ac:dyDescent="0.2">
      <c r="A27" s="20">
        <v>7</v>
      </c>
      <c r="B27" s="24">
        <f t="shared" si="0"/>
        <v>1.40625</v>
      </c>
      <c r="C27" s="24">
        <f t="shared" si="1"/>
        <v>1.421875</v>
      </c>
      <c r="D27" s="21">
        <f t="shared" si="2"/>
        <v>1.4140625</v>
      </c>
      <c r="E27" s="21">
        <f t="shared" si="3"/>
        <v>-2.24609375E-2</v>
      </c>
      <c r="F27" s="21">
        <f t="shared" si="4"/>
        <v>-4.2724609375E-4</v>
      </c>
      <c r="G27" s="21">
        <f t="shared" si="5"/>
        <v>9.5963478088378906E-6</v>
      </c>
      <c r="H27" s="24">
        <f t="shared" si="6"/>
        <v>-0.55248618784530379</v>
      </c>
    </row>
    <row r="28" spans="1:8" x14ac:dyDescent="0.2">
      <c r="A28" s="20">
        <v>8</v>
      </c>
      <c r="B28" s="24">
        <f t="shared" si="0"/>
        <v>1.4140625</v>
      </c>
      <c r="C28" s="24">
        <f t="shared" si="1"/>
        <v>1.421875</v>
      </c>
      <c r="D28" s="21">
        <f t="shared" si="2"/>
        <v>1.41796875</v>
      </c>
      <c r="E28" s="21">
        <f t="shared" si="3"/>
        <v>-4.2724609375E-4</v>
      </c>
      <c r="F28" s="21">
        <f t="shared" si="4"/>
        <v>1.06353759765625E-2</v>
      </c>
      <c r="G28" s="21">
        <f t="shared" si="5"/>
        <v>-4.5439228415489197E-6</v>
      </c>
      <c r="H28" s="24">
        <f t="shared" si="6"/>
        <v>0.27548209366391185</v>
      </c>
    </row>
    <row r="29" spans="1:8" x14ac:dyDescent="0.2">
      <c r="A29" s="28">
        <v>9</v>
      </c>
      <c r="B29" s="29">
        <f t="shared" si="0"/>
        <v>1.4140625</v>
      </c>
      <c r="C29" s="29">
        <f t="shared" si="1"/>
        <v>1.41796875</v>
      </c>
      <c r="D29" s="30">
        <f t="shared" si="2"/>
        <v>1.416015625</v>
      </c>
      <c r="E29" s="30">
        <f t="shared" si="3"/>
        <v>-4.2724609375E-4</v>
      </c>
      <c r="F29" s="30">
        <f t="shared" si="4"/>
        <v>5.100250244140625E-3</v>
      </c>
      <c r="G29" s="30">
        <f t="shared" si="5"/>
        <v>-2.1790619939565659E-6</v>
      </c>
      <c r="H29" s="29">
        <f t="shared" si="6"/>
        <v>-0.13793103448275862</v>
      </c>
    </row>
    <row r="30" spans="1:8" x14ac:dyDescent="0.2">
      <c r="A30" s="20">
        <v>10</v>
      </c>
      <c r="B30" s="24">
        <f t="shared" si="0"/>
        <v>1.4140625</v>
      </c>
      <c r="C30" s="24">
        <f t="shared" si="1"/>
        <v>1.416015625</v>
      </c>
      <c r="D30" s="21">
        <f t="shared" si="2"/>
        <v>1.4150390625</v>
      </c>
      <c r="E30" s="21">
        <f t="shared" si="3"/>
        <v>-4.2724609375E-4</v>
      </c>
      <c r="F30" s="21">
        <f t="shared" si="4"/>
        <v>2.3355484008789063E-3</v>
      </c>
      <c r="G30" s="21">
        <f t="shared" si="5"/>
        <v>-9.9785393103957176E-7</v>
      </c>
      <c r="H30" s="24">
        <f t="shared" si="6"/>
        <v>-6.901311249137336E-2</v>
      </c>
    </row>
    <row r="31" spans="1:8" x14ac:dyDescent="0.2">
      <c r="A31" s="20">
        <v>11</v>
      </c>
      <c r="B31" s="24">
        <f t="shared" si="0"/>
        <v>1.4140625</v>
      </c>
      <c r="C31" s="24">
        <f t="shared" si="1"/>
        <v>1.4150390625</v>
      </c>
      <c r="D31" s="21">
        <f t="shared" si="2"/>
        <v>1.41455078125</v>
      </c>
      <c r="E31" s="21">
        <f t="shared" si="3"/>
        <v>-4.2724609375E-4</v>
      </c>
      <c r="F31" s="21">
        <f t="shared" si="4"/>
        <v>9.5391273498535156E-4</v>
      </c>
      <c r="G31" s="21">
        <f t="shared" si="5"/>
        <v>-4.0755548980087042E-7</v>
      </c>
      <c r="H31" s="24">
        <f t="shared" si="6"/>
        <v>-3.4518467380048323E-2</v>
      </c>
    </row>
    <row r="32" spans="1:8" x14ac:dyDescent="0.2">
      <c r="A32" s="20"/>
      <c r="B32" s="24"/>
      <c r="C32" s="24"/>
      <c r="D32" s="21"/>
      <c r="E32" s="21"/>
      <c r="F32" s="21"/>
      <c r="G32" s="21"/>
      <c r="H32" s="24"/>
    </row>
    <row r="33" spans="1:8" x14ac:dyDescent="0.2">
      <c r="A33" s="20"/>
      <c r="B33" s="24"/>
      <c r="C33" s="24"/>
      <c r="D33" s="21"/>
      <c r="E33" s="21"/>
      <c r="F33" s="21"/>
      <c r="G33" s="21"/>
      <c r="H33" s="2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F8393-F0A1-4F8B-8F7D-9A19F2DA3CB2}">
  <dimension ref="A1:I33"/>
  <sheetViews>
    <sheetView workbookViewId="0">
      <selection activeCell="E24" sqref="E24"/>
    </sheetView>
  </sheetViews>
  <sheetFormatPr baseColWidth="10" defaultRowHeight="12.75" x14ac:dyDescent="0.2"/>
  <sheetData>
    <row r="1" spans="1:9" x14ac:dyDescent="0.2">
      <c r="A1" s="7" t="s">
        <v>33</v>
      </c>
    </row>
    <row r="4" spans="1:9" x14ac:dyDescent="0.2">
      <c r="B4" s="8"/>
      <c r="C4" s="8"/>
      <c r="D4" s="8"/>
      <c r="E4" s="8"/>
      <c r="F4" s="8"/>
      <c r="G4" s="8"/>
      <c r="H4" s="8"/>
    </row>
    <row r="5" spans="1:9" x14ac:dyDescent="0.2">
      <c r="B5" s="8"/>
      <c r="C5" s="8"/>
      <c r="D5" s="8"/>
      <c r="E5" s="8"/>
      <c r="F5" s="8"/>
      <c r="G5" s="8"/>
      <c r="H5" s="8"/>
    </row>
    <row r="6" spans="1:9" x14ac:dyDescent="0.2">
      <c r="B6" s="8"/>
      <c r="C6" s="8"/>
      <c r="D6" s="9"/>
      <c r="E6" s="9"/>
      <c r="F6" s="9" t="s">
        <v>34</v>
      </c>
      <c r="G6" s="17" t="s">
        <v>3</v>
      </c>
      <c r="H6" s="8"/>
    </row>
    <row r="7" spans="1:9" x14ac:dyDescent="0.2">
      <c r="B7" s="8"/>
      <c r="C7" s="8"/>
      <c r="D7" s="18" t="s">
        <v>35</v>
      </c>
      <c r="E7" s="18"/>
      <c r="F7" s="17" t="s">
        <v>76</v>
      </c>
      <c r="G7" s="9"/>
      <c r="H7" s="8"/>
    </row>
    <row r="8" spans="1:9" x14ac:dyDescent="0.2">
      <c r="B8" s="8"/>
      <c r="C8" s="8"/>
      <c r="D8" s="18" t="s">
        <v>37</v>
      </c>
      <c r="E8" s="18"/>
      <c r="F8" s="11">
        <v>1</v>
      </c>
      <c r="G8" s="9"/>
      <c r="H8" s="8"/>
    </row>
    <row r="9" spans="1:9" x14ac:dyDescent="0.2">
      <c r="B9" s="8"/>
      <c r="C9" s="8"/>
      <c r="D9" s="18" t="s">
        <v>38</v>
      </c>
      <c r="E9" s="18"/>
      <c r="F9" s="11">
        <v>2</v>
      </c>
      <c r="G9" s="9"/>
      <c r="H9" s="8"/>
    </row>
    <row r="10" spans="1:9" x14ac:dyDescent="0.2">
      <c r="B10" s="8"/>
      <c r="C10" s="8"/>
      <c r="D10" s="18" t="s">
        <v>39</v>
      </c>
      <c r="E10" s="18"/>
      <c r="F10" s="12">
        <v>1E-4</v>
      </c>
      <c r="G10" s="9"/>
      <c r="H10" s="8"/>
    </row>
    <row r="11" spans="1:9" x14ac:dyDescent="0.2">
      <c r="B11" s="8"/>
      <c r="C11" s="8"/>
      <c r="D11" s="8"/>
      <c r="E11" s="8"/>
      <c r="F11" s="8"/>
      <c r="G11" s="8"/>
      <c r="H11" s="8"/>
    </row>
    <row r="12" spans="1:9" x14ac:dyDescent="0.2">
      <c r="B12" s="8"/>
      <c r="C12" s="8"/>
      <c r="D12" s="8"/>
      <c r="E12" s="8"/>
      <c r="F12" s="8"/>
      <c r="G12" s="8"/>
      <c r="H12" s="8"/>
    </row>
    <row r="13" spans="1:9" x14ac:dyDescent="0.2">
      <c r="B13" s="8"/>
      <c r="C13" s="8"/>
      <c r="D13" s="8"/>
      <c r="E13" s="8"/>
      <c r="F13" s="8"/>
      <c r="G13" s="8"/>
      <c r="H13" s="8"/>
    </row>
    <row r="14" spans="1:9" x14ac:dyDescent="0.2">
      <c r="B14" s="8"/>
      <c r="C14" s="8"/>
      <c r="D14" s="8"/>
      <c r="E14" s="8"/>
      <c r="F14" s="8"/>
      <c r="G14" s="8" t="s">
        <v>40</v>
      </c>
      <c r="H14" s="8"/>
    </row>
    <row r="15" spans="1:9" x14ac:dyDescent="0.2">
      <c r="B15" s="8"/>
      <c r="C15" s="8"/>
      <c r="D15" s="8"/>
      <c r="E15" s="8"/>
      <c r="F15" s="8"/>
      <c r="G15" s="8"/>
      <c r="H15" s="8"/>
      <c r="I15" s="8" t="s">
        <v>69</v>
      </c>
    </row>
    <row r="16" spans="1:9" x14ac:dyDescent="0.2">
      <c r="B16" s="8"/>
      <c r="C16" s="8"/>
      <c r="D16" s="8"/>
      <c r="E16" s="8"/>
      <c r="F16" s="8"/>
      <c r="G16" s="8"/>
      <c r="H16" s="8"/>
      <c r="I16" t="b">
        <f>(F8*F9)&lt;0</f>
        <v>0</v>
      </c>
    </row>
    <row r="17" spans="1:8" x14ac:dyDescent="0.2">
      <c r="B17" s="8"/>
      <c r="C17" s="8"/>
      <c r="D17" s="8"/>
      <c r="E17" s="8"/>
      <c r="F17" s="8"/>
      <c r="G17" s="8"/>
      <c r="H17" s="8"/>
    </row>
    <row r="18" spans="1:8" x14ac:dyDescent="0.2">
      <c r="B18" s="8"/>
      <c r="C18" s="8"/>
      <c r="D18" s="8"/>
      <c r="E18" s="8"/>
      <c r="F18" s="8"/>
      <c r="G18" s="8"/>
      <c r="H18" s="8"/>
    </row>
    <row r="19" spans="1:8" x14ac:dyDescent="0.2">
      <c r="B19" s="8"/>
      <c r="C19" s="8"/>
      <c r="D19" s="8"/>
      <c r="E19" s="8"/>
      <c r="F19" s="8"/>
      <c r="G19" s="8"/>
      <c r="H19" s="8"/>
    </row>
    <row r="20" spans="1:8" x14ac:dyDescent="0.2">
      <c r="A20" s="19" t="s">
        <v>61</v>
      </c>
      <c r="B20" s="25" t="s">
        <v>62</v>
      </c>
      <c r="C20" s="26" t="s">
        <v>63</v>
      </c>
      <c r="D20" s="27" t="s">
        <v>64</v>
      </c>
      <c r="E20" s="26" t="s">
        <v>65</v>
      </c>
      <c r="F20" s="26" t="s">
        <v>66</v>
      </c>
      <c r="G20" s="27" t="s">
        <v>67</v>
      </c>
      <c r="H20" s="27" t="s">
        <v>68</v>
      </c>
    </row>
    <row r="21" spans="1:8" x14ac:dyDescent="0.2">
      <c r="A21" s="22">
        <v>1</v>
      </c>
      <c r="B21" s="23">
        <f>F8</f>
        <v>1</v>
      </c>
      <c r="C21" s="21">
        <f>F9</f>
        <v>2</v>
      </c>
      <c r="D21" s="21">
        <f>(B21+C21)/2</f>
        <v>1.5</v>
      </c>
      <c r="E21" s="21">
        <f>((B21*B21*B21))-(B21)-1</f>
        <v>-1</v>
      </c>
      <c r="F21" s="21">
        <f>((D21*D21*D21))-(D21)-1</f>
        <v>0.875</v>
      </c>
      <c r="G21" s="21">
        <f>E21*F21</f>
        <v>-0.875</v>
      </c>
      <c r="H21" s="21"/>
    </row>
    <row r="22" spans="1:8" x14ac:dyDescent="0.2">
      <c r="A22" s="20">
        <v>2</v>
      </c>
      <c r="B22" s="24">
        <f>IF(G21&lt;0,B21,D21)</f>
        <v>1</v>
      </c>
      <c r="C22" s="24">
        <f>IF(G21&gt;0,C21,D21)</f>
        <v>1.5</v>
      </c>
      <c r="D22" s="21">
        <f>(B22+C22)/2</f>
        <v>1.25</v>
      </c>
      <c r="E22" s="21">
        <f>((B22*B22*B22))-(B22)-1</f>
        <v>-1</v>
      </c>
      <c r="F22" s="21">
        <f>((C22*C22*C22))-(C22)-1</f>
        <v>0.875</v>
      </c>
      <c r="G22" s="21">
        <f>E22*F22</f>
        <v>-0.875</v>
      </c>
      <c r="H22" s="24">
        <f>((D22-D21)/D22)*100</f>
        <v>-20</v>
      </c>
    </row>
    <row r="23" spans="1:8" x14ac:dyDescent="0.2">
      <c r="A23" s="20">
        <v>3</v>
      </c>
      <c r="B23" s="24">
        <f>IF(G22&lt;0,B22,D22)</f>
        <v>1</v>
      </c>
      <c r="C23" s="24">
        <f>IF(G22&gt;0,C22,D22)</f>
        <v>1.25</v>
      </c>
      <c r="D23" s="21">
        <f>(B23+C23)/2</f>
        <v>1.125</v>
      </c>
      <c r="E23" s="21">
        <f>((B23*B23*B23))-(B23)-1</f>
        <v>-1</v>
      </c>
      <c r="F23" s="21">
        <f>((C23*C23*C23))-(C23)-1</f>
        <v>-0.296875</v>
      </c>
      <c r="G23" s="21">
        <f>E23*F23</f>
        <v>0.296875</v>
      </c>
      <c r="H23" s="24">
        <f>((D23-D22)/D23)*100</f>
        <v>-11.111111111111111</v>
      </c>
    </row>
    <row r="24" spans="1:8" x14ac:dyDescent="0.2">
      <c r="A24" s="20">
        <v>4</v>
      </c>
      <c r="B24" s="24">
        <f t="shared" ref="B24:B33" si="0">IF(G23&lt;0,B23,D23)</f>
        <v>1.125</v>
      </c>
      <c r="C24" s="24">
        <f t="shared" ref="C24:C33" si="1">IF(G23&gt;0,C23,D23)</f>
        <v>1.25</v>
      </c>
      <c r="D24" s="21">
        <f t="shared" ref="D24:D33" si="2">(B24+C24)/2</f>
        <v>1.1875</v>
      </c>
      <c r="E24" s="21">
        <f t="shared" ref="E24:E33" si="3">((B24*B24*B24))-(B24)-1</f>
        <v>-0.701171875</v>
      </c>
      <c r="F24" s="21">
        <f t="shared" ref="F24:F33" si="4">((C24*C24*C24))-(C24)-1</f>
        <v>-0.296875</v>
      </c>
      <c r="G24" s="21">
        <f t="shared" ref="G24:G33" si="5">E24*F24</f>
        <v>0.208160400390625</v>
      </c>
      <c r="H24" s="24">
        <f t="shared" ref="H24:H33" si="6">((D24-D23)/D24)*100</f>
        <v>5.2631578947368416</v>
      </c>
    </row>
    <row r="25" spans="1:8" x14ac:dyDescent="0.2">
      <c r="A25" s="20">
        <v>5</v>
      </c>
      <c r="B25" s="24">
        <f t="shared" si="0"/>
        <v>1.1875</v>
      </c>
      <c r="C25" s="24">
        <f t="shared" si="1"/>
        <v>1.25</v>
      </c>
      <c r="D25" s="21">
        <f t="shared" si="2"/>
        <v>1.21875</v>
      </c>
      <c r="E25" s="21">
        <f t="shared" si="3"/>
        <v>-0.512939453125</v>
      </c>
      <c r="F25" s="21">
        <f t="shared" si="4"/>
        <v>-0.296875</v>
      </c>
      <c r="G25" s="21">
        <f t="shared" si="5"/>
        <v>0.15227890014648438</v>
      </c>
      <c r="H25" s="24">
        <f t="shared" si="6"/>
        <v>2.5641025641025639</v>
      </c>
    </row>
    <row r="26" spans="1:8" x14ac:dyDescent="0.2">
      <c r="A26" s="20">
        <v>6</v>
      </c>
      <c r="B26" s="24">
        <f t="shared" si="0"/>
        <v>1.21875</v>
      </c>
      <c r="C26" s="24">
        <f t="shared" si="1"/>
        <v>1.25</v>
      </c>
      <c r="D26" s="21">
        <f t="shared" si="2"/>
        <v>1.234375</v>
      </c>
      <c r="E26" s="21">
        <f t="shared" si="3"/>
        <v>-0.408477783203125</v>
      </c>
      <c r="F26" s="21">
        <f t="shared" si="4"/>
        <v>-0.296875</v>
      </c>
      <c r="G26" s="21">
        <f t="shared" si="5"/>
        <v>0.12126684188842773</v>
      </c>
      <c r="H26" s="24">
        <f t="shared" si="6"/>
        <v>1.2658227848101267</v>
      </c>
    </row>
    <row r="27" spans="1:8" x14ac:dyDescent="0.2">
      <c r="A27" s="20">
        <v>7</v>
      </c>
      <c r="B27" s="24">
        <f t="shared" si="0"/>
        <v>1.234375</v>
      </c>
      <c r="C27" s="24">
        <f t="shared" si="1"/>
        <v>1.25</v>
      </c>
      <c r="D27" s="21">
        <f t="shared" si="2"/>
        <v>1.2421875</v>
      </c>
      <c r="E27" s="21">
        <f t="shared" si="3"/>
        <v>-0.35358047485351563</v>
      </c>
      <c r="F27" s="21">
        <f t="shared" si="4"/>
        <v>-0.296875</v>
      </c>
      <c r="G27" s="21">
        <f t="shared" si="5"/>
        <v>0.10496920347213745</v>
      </c>
      <c r="H27" s="24">
        <f t="shared" si="6"/>
        <v>0.62893081761006298</v>
      </c>
    </row>
    <row r="28" spans="1:8" x14ac:dyDescent="0.2">
      <c r="A28" s="20">
        <v>8</v>
      </c>
      <c r="B28" s="24">
        <f t="shared" si="0"/>
        <v>1.2421875</v>
      </c>
      <c r="C28" s="24">
        <f t="shared" si="1"/>
        <v>1.25</v>
      </c>
      <c r="D28" s="21">
        <f t="shared" si="2"/>
        <v>1.24609375</v>
      </c>
      <c r="E28" s="21">
        <f t="shared" si="3"/>
        <v>-0.3254551887512207</v>
      </c>
      <c r="F28" s="21">
        <f t="shared" si="4"/>
        <v>-0.296875</v>
      </c>
      <c r="G28" s="21">
        <f t="shared" si="5"/>
        <v>9.6619509160518646E-2</v>
      </c>
      <c r="H28" s="24">
        <f t="shared" si="6"/>
        <v>0.31347962382445138</v>
      </c>
    </row>
    <row r="29" spans="1:8" x14ac:dyDescent="0.2">
      <c r="A29" s="20">
        <v>9</v>
      </c>
      <c r="B29" s="24">
        <f t="shared" si="0"/>
        <v>1.24609375</v>
      </c>
      <c r="C29" s="24">
        <f t="shared" si="1"/>
        <v>1.25</v>
      </c>
      <c r="D29" s="21">
        <f t="shared" si="2"/>
        <v>1.248046875</v>
      </c>
      <c r="E29" s="21">
        <f t="shared" si="3"/>
        <v>-0.3112221360206604</v>
      </c>
      <c r="F29" s="21">
        <f t="shared" si="4"/>
        <v>-0.296875</v>
      </c>
      <c r="G29" s="21">
        <f t="shared" si="5"/>
        <v>9.2394071631133556E-2</v>
      </c>
      <c r="H29" s="24">
        <f t="shared" si="6"/>
        <v>0.1564945226917058</v>
      </c>
    </row>
    <row r="30" spans="1:8" x14ac:dyDescent="0.2">
      <c r="A30" s="20">
        <v>10</v>
      </c>
      <c r="B30" s="24">
        <f t="shared" si="0"/>
        <v>1.248046875</v>
      </c>
      <c r="C30" s="24">
        <f t="shared" si="1"/>
        <v>1.25</v>
      </c>
      <c r="D30" s="21">
        <f t="shared" si="2"/>
        <v>1.2490234375</v>
      </c>
      <c r="E30" s="21">
        <f t="shared" si="3"/>
        <v>-0.3040628507733345</v>
      </c>
      <c r="F30" s="21">
        <f t="shared" si="4"/>
        <v>-0.296875</v>
      </c>
      <c r="G30" s="21">
        <f t="shared" si="5"/>
        <v>9.0268658823333681E-2</v>
      </c>
      <c r="H30" s="24">
        <f t="shared" si="6"/>
        <v>7.8186082877247848E-2</v>
      </c>
    </row>
    <row r="31" spans="1:8" x14ac:dyDescent="0.2">
      <c r="A31" s="20">
        <v>11</v>
      </c>
      <c r="B31" s="24">
        <f t="shared" si="0"/>
        <v>1.2490234375</v>
      </c>
      <c r="C31" s="24">
        <f t="shared" si="1"/>
        <v>1.25</v>
      </c>
      <c r="D31" s="21">
        <f t="shared" si="2"/>
        <v>1.24951171875</v>
      </c>
      <c r="E31" s="21">
        <f t="shared" si="3"/>
        <v>-0.30047249887138605</v>
      </c>
      <c r="F31" s="21">
        <f t="shared" si="4"/>
        <v>-0.296875</v>
      </c>
      <c r="G31" s="21">
        <f t="shared" si="5"/>
        <v>8.9202773102442734E-2</v>
      </c>
      <c r="H31" s="24">
        <f t="shared" si="6"/>
        <v>3.9077764751856196E-2</v>
      </c>
    </row>
    <row r="32" spans="1:8" x14ac:dyDescent="0.2">
      <c r="A32" s="28">
        <v>12</v>
      </c>
      <c r="B32" s="29">
        <f t="shared" si="0"/>
        <v>1.24951171875</v>
      </c>
      <c r="C32" s="29">
        <f t="shared" si="1"/>
        <v>1.25</v>
      </c>
      <c r="D32" s="30">
        <f t="shared" si="2"/>
        <v>1.249755859375</v>
      </c>
      <c r="E32" s="30">
        <f t="shared" si="3"/>
        <v>-0.29867464315611869</v>
      </c>
      <c r="F32" s="30">
        <f t="shared" si="4"/>
        <v>-0.296875</v>
      </c>
      <c r="G32" s="30">
        <f t="shared" si="5"/>
        <v>8.8669034686972736E-2</v>
      </c>
      <c r="H32" s="29">
        <f t="shared" si="6"/>
        <v>1.9535065442469232E-2</v>
      </c>
    </row>
    <row r="33" spans="1:8" x14ac:dyDescent="0.2">
      <c r="A33" s="20">
        <v>13</v>
      </c>
      <c r="B33" s="24">
        <f t="shared" si="0"/>
        <v>1.249755859375</v>
      </c>
      <c r="C33" s="24">
        <f t="shared" si="1"/>
        <v>1.25</v>
      </c>
      <c r="D33" s="41">
        <f t="shared" si="2"/>
        <v>1.2498779296875</v>
      </c>
      <c r="E33" s="42">
        <f t="shared" si="3"/>
        <v>-0.29777504505182151</v>
      </c>
      <c r="F33" s="42">
        <f t="shared" si="4"/>
        <v>-0.296875</v>
      </c>
      <c r="G33" s="43">
        <f t="shared" si="5"/>
        <v>8.840196649975951E-2</v>
      </c>
      <c r="H33" s="24">
        <f t="shared" si="6"/>
        <v>9.7665787674577603E-3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EB055-DDD8-45C7-91B3-FB80B8FB3B2F}">
  <dimension ref="A1:I33"/>
  <sheetViews>
    <sheetView workbookViewId="0">
      <selection activeCell="F16" sqref="F16"/>
    </sheetView>
  </sheetViews>
  <sheetFormatPr baseColWidth="10" defaultRowHeight="12.75" x14ac:dyDescent="0.2"/>
  <cols>
    <col min="9" max="9" width="15.85546875" customWidth="1"/>
  </cols>
  <sheetData>
    <row r="1" spans="1:9" x14ac:dyDescent="0.2">
      <c r="A1" s="7" t="s">
        <v>33</v>
      </c>
    </row>
    <row r="4" spans="1:9" x14ac:dyDescent="0.2">
      <c r="B4" s="8"/>
      <c r="C4" s="8"/>
      <c r="D4" s="8"/>
      <c r="E4" s="8"/>
      <c r="F4" s="8"/>
      <c r="G4" s="8"/>
      <c r="H4" s="8"/>
    </row>
    <row r="5" spans="1:9" x14ac:dyDescent="0.2">
      <c r="B5" s="8"/>
      <c r="C5" s="8"/>
      <c r="D5" s="8"/>
      <c r="E5" s="8"/>
      <c r="F5" s="8"/>
      <c r="G5" s="8"/>
      <c r="H5" s="8"/>
    </row>
    <row r="6" spans="1:9" x14ac:dyDescent="0.2">
      <c r="B6" s="8"/>
      <c r="C6" s="8"/>
      <c r="D6" s="9"/>
      <c r="E6" s="9"/>
      <c r="F6" s="9" t="s">
        <v>34</v>
      </c>
      <c r="G6" s="17" t="s">
        <v>3</v>
      </c>
      <c r="H6" s="8"/>
    </row>
    <row r="7" spans="1:9" x14ac:dyDescent="0.2">
      <c r="B7" s="8"/>
      <c r="C7" s="8"/>
      <c r="D7" s="18" t="s">
        <v>35</v>
      </c>
      <c r="E7" s="18"/>
      <c r="F7" s="17" t="s">
        <v>77</v>
      </c>
      <c r="G7" s="9"/>
      <c r="H7" s="8"/>
    </row>
    <row r="8" spans="1:9" x14ac:dyDescent="0.2">
      <c r="B8" s="8"/>
      <c r="C8" s="8"/>
      <c r="D8" s="18" t="s">
        <v>37</v>
      </c>
      <c r="E8" s="18"/>
      <c r="F8" s="11">
        <v>0.5</v>
      </c>
      <c r="G8" s="9"/>
      <c r="H8" s="8"/>
    </row>
    <row r="9" spans="1:9" x14ac:dyDescent="0.2">
      <c r="B9" s="8"/>
      <c r="C9" s="8"/>
      <c r="D9" s="18" t="s">
        <v>38</v>
      </c>
      <c r="E9" s="18"/>
      <c r="F9" s="11">
        <v>1</v>
      </c>
      <c r="G9" s="9"/>
      <c r="H9" s="8"/>
    </row>
    <row r="10" spans="1:9" x14ac:dyDescent="0.2">
      <c r="B10" s="8"/>
      <c r="C10" s="8"/>
      <c r="D10" s="18" t="s">
        <v>39</v>
      </c>
      <c r="E10" s="18"/>
      <c r="F10" s="12">
        <v>1E-4</v>
      </c>
      <c r="G10" s="9"/>
      <c r="H10" s="8"/>
    </row>
    <row r="11" spans="1:9" x14ac:dyDescent="0.2">
      <c r="B11" s="8"/>
      <c r="C11" s="8"/>
      <c r="D11" s="8"/>
      <c r="E11" s="8"/>
      <c r="F11" s="8"/>
      <c r="G11" s="8"/>
      <c r="H11" s="8"/>
    </row>
    <row r="12" spans="1:9" x14ac:dyDescent="0.2">
      <c r="B12" s="8"/>
      <c r="C12" s="8"/>
      <c r="D12" s="8"/>
      <c r="E12" s="8"/>
      <c r="F12" s="8"/>
      <c r="G12" s="8"/>
      <c r="H12" s="8"/>
    </row>
    <row r="13" spans="1:9" x14ac:dyDescent="0.2">
      <c r="B13" s="8"/>
      <c r="C13" s="8"/>
      <c r="D13" s="8"/>
      <c r="E13" s="8"/>
      <c r="F13" s="8"/>
      <c r="G13" s="8"/>
      <c r="H13" s="8"/>
    </row>
    <row r="14" spans="1:9" x14ac:dyDescent="0.2">
      <c r="B14" s="8"/>
      <c r="C14" s="8"/>
      <c r="D14" s="8"/>
      <c r="E14" s="8"/>
      <c r="F14" s="8"/>
      <c r="G14" s="8" t="s">
        <v>40</v>
      </c>
      <c r="H14" s="8"/>
    </row>
    <row r="15" spans="1:9" x14ac:dyDescent="0.2">
      <c r="B15" s="8"/>
      <c r="C15" s="8"/>
      <c r="D15" s="8"/>
      <c r="E15" s="8"/>
      <c r="F15" s="8"/>
      <c r="G15" s="8"/>
      <c r="H15" s="8"/>
      <c r="I15" s="8" t="s">
        <v>69</v>
      </c>
    </row>
    <row r="16" spans="1:9" x14ac:dyDescent="0.2">
      <c r="B16" s="8"/>
      <c r="C16" s="8"/>
      <c r="D16" s="8"/>
      <c r="E16" s="8"/>
      <c r="F16" s="8"/>
      <c r="G16" s="8"/>
      <c r="H16" s="8"/>
      <c r="I16" t="b">
        <f>(F8*F9)&lt;0</f>
        <v>0</v>
      </c>
    </row>
    <row r="17" spans="1:8" x14ac:dyDescent="0.2">
      <c r="B17" s="8"/>
      <c r="C17" s="8"/>
      <c r="D17" s="8"/>
      <c r="E17" s="8"/>
      <c r="F17" s="8"/>
      <c r="G17" s="8"/>
      <c r="H17" s="8"/>
    </row>
    <row r="18" spans="1:8" x14ac:dyDescent="0.2">
      <c r="B18" s="8"/>
      <c r="C18" s="8"/>
      <c r="D18" s="8"/>
      <c r="E18" s="8"/>
      <c r="F18" s="8"/>
      <c r="G18" s="8"/>
      <c r="H18" s="8"/>
    </row>
    <row r="19" spans="1:8" x14ac:dyDescent="0.2">
      <c r="B19" s="8"/>
      <c r="C19" s="8"/>
      <c r="D19" s="8"/>
      <c r="E19" s="8"/>
      <c r="F19" s="8"/>
      <c r="G19" s="8"/>
      <c r="H19" s="8"/>
    </row>
    <row r="20" spans="1:8" x14ac:dyDescent="0.2">
      <c r="A20" s="19" t="s">
        <v>61</v>
      </c>
      <c r="B20" s="25" t="s">
        <v>62</v>
      </c>
      <c r="C20" s="26" t="s">
        <v>63</v>
      </c>
      <c r="D20" s="27" t="s">
        <v>64</v>
      </c>
      <c r="E20" s="26" t="s">
        <v>65</v>
      </c>
      <c r="F20" s="26" t="s">
        <v>66</v>
      </c>
      <c r="G20" s="27" t="s">
        <v>67</v>
      </c>
      <c r="H20" s="27" t="s">
        <v>68</v>
      </c>
    </row>
    <row r="21" spans="1:8" x14ac:dyDescent="0.2">
      <c r="A21" s="22">
        <v>1</v>
      </c>
      <c r="B21" s="23">
        <f>F8</f>
        <v>0.5</v>
      </c>
      <c r="C21" s="21">
        <f>F9</f>
        <v>1</v>
      </c>
      <c r="D21" s="21">
        <f>(B21+C21)/2</f>
        <v>0.75</v>
      </c>
      <c r="E21" s="21">
        <f>EXP(B21)-(3*B21)</f>
        <v>0.14872127070012819</v>
      </c>
      <c r="F21" s="21">
        <f>EXP(D21)-(3*D21)</f>
        <v>-0.13299998338732522</v>
      </c>
      <c r="G21" s="21">
        <f>E21*F21</f>
        <v>-1.9779926532458945E-2</v>
      </c>
      <c r="H21" s="21"/>
    </row>
    <row r="22" spans="1:8" x14ac:dyDescent="0.2">
      <c r="A22" s="20">
        <v>2</v>
      </c>
      <c r="B22" s="24">
        <f>IF(G21&lt;0,B21,D21)</f>
        <v>0.5</v>
      </c>
      <c r="C22" s="24">
        <f>IF(G21&gt;0,C21,D21)</f>
        <v>0.75</v>
      </c>
      <c r="D22" s="21">
        <f>(B22+C22)/2</f>
        <v>0.625</v>
      </c>
      <c r="E22" s="21">
        <f>EXP(B22)-(3*B22)</f>
        <v>0.14872127070012819</v>
      </c>
      <c r="F22" s="21">
        <f>EXP(D22)-(3*D22)</f>
        <v>-6.7540425677776739E-3</v>
      </c>
      <c r="G22" s="21">
        <f>E22*F22</f>
        <v>-1.0044697930426524E-3</v>
      </c>
      <c r="H22" s="24">
        <f>((D22-D21)/D22)*100</f>
        <v>-20</v>
      </c>
    </row>
    <row r="23" spans="1:8" x14ac:dyDescent="0.2">
      <c r="A23" s="20">
        <v>3</v>
      </c>
      <c r="B23" s="24">
        <f>IF(G22&lt;0,B22,D22)</f>
        <v>0.5</v>
      </c>
      <c r="C23" s="24">
        <f>IF(G22&gt;0,C22,D22)</f>
        <v>0.625</v>
      </c>
      <c r="D23" s="21">
        <f>(B23+C23)/2</f>
        <v>0.5625</v>
      </c>
      <c r="E23" s="21">
        <f>EXP(B23)-(B23*B23*B23)</f>
        <v>1.5237212707001282</v>
      </c>
      <c r="F23" s="21">
        <f>EXP(D23)-(D23*D23*D23)</f>
        <v>1.5770761413352985</v>
      </c>
      <c r="G23" s="21">
        <f>E23*F23</f>
        <v>2.4030244620662762</v>
      </c>
      <c r="H23" s="24">
        <f>((D23-D22)/D23)*100</f>
        <v>-11.111111111111111</v>
      </c>
    </row>
    <row r="24" spans="1:8" x14ac:dyDescent="0.2">
      <c r="A24" s="20">
        <v>4</v>
      </c>
      <c r="B24" s="24">
        <f t="shared" ref="B24:B33" si="0">IF(G23&lt;0,B23,D23)</f>
        <v>0.5625</v>
      </c>
      <c r="C24" s="24">
        <f t="shared" ref="C24:C33" si="1">IF(G23&gt;0,C23,D23)</f>
        <v>0.625</v>
      </c>
      <c r="D24" s="21">
        <f t="shared" ref="D24:D33" si="2">(B24+C24)/2</f>
        <v>0.59375</v>
      </c>
      <c r="E24" s="21">
        <f t="shared" ref="E24:E33" si="3">EXP(B24)-(B24*B24*B24)</f>
        <v>1.5770761413352985</v>
      </c>
      <c r="F24" s="21">
        <f t="shared" ref="F24:F33" si="4">EXP(D24)-(D24*D24*D24)</f>
        <v>1.6014460037600122</v>
      </c>
      <c r="G24" s="21">
        <f t="shared" ref="G24:G33" si="5">E24*F24</f>
        <v>2.5256022841666739</v>
      </c>
      <c r="H24" s="24">
        <f t="shared" ref="H24:H33" si="6">((D24-D23)/D24)*100</f>
        <v>5.2631578947368416</v>
      </c>
    </row>
    <row r="25" spans="1:8" x14ac:dyDescent="0.2">
      <c r="A25" s="20">
        <v>5</v>
      </c>
      <c r="B25" s="24">
        <f t="shared" si="0"/>
        <v>0.59375</v>
      </c>
      <c r="C25" s="24">
        <f t="shared" si="1"/>
        <v>0.625</v>
      </c>
      <c r="D25" s="21">
        <f t="shared" si="2"/>
        <v>0.609375</v>
      </c>
      <c r="E25" s="21">
        <f t="shared" si="3"/>
        <v>1.6014460037600122</v>
      </c>
      <c r="F25" s="21">
        <f t="shared" si="4"/>
        <v>1.6129974614421714</v>
      </c>
      <c r="G25" s="21">
        <f t="shared" si="5"/>
        <v>2.5831283387016097</v>
      </c>
      <c r="H25" s="24">
        <f t="shared" si="6"/>
        <v>2.5641025641025639</v>
      </c>
    </row>
    <row r="26" spans="1:8" x14ac:dyDescent="0.2">
      <c r="A26" s="20">
        <v>6</v>
      </c>
      <c r="B26" s="24">
        <f t="shared" si="0"/>
        <v>0.609375</v>
      </c>
      <c r="C26" s="24">
        <f t="shared" si="1"/>
        <v>0.625</v>
      </c>
      <c r="D26" s="21">
        <f t="shared" si="2"/>
        <v>0.6171875</v>
      </c>
      <c r="E26" s="21">
        <f t="shared" si="3"/>
        <v>1.6129974614421714</v>
      </c>
      <c r="F26" s="21">
        <f t="shared" si="4"/>
        <v>1.6186078364031238</v>
      </c>
      <c r="G26" s="21">
        <f t="shared" si="5"/>
        <v>2.6108103311886439</v>
      </c>
      <c r="H26" s="24">
        <f t="shared" si="6"/>
        <v>1.2658227848101267</v>
      </c>
    </row>
    <row r="27" spans="1:8" x14ac:dyDescent="0.2">
      <c r="A27" s="20">
        <v>7</v>
      </c>
      <c r="B27" s="24">
        <f t="shared" si="0"/>
        <v>0.6171875</v>
      </c>
      <c r="C27" s="24">
        <f t="shared" si="1"/>
        <v>0.625</v>
      </c>
      <c r="D27" s="21">
        <f t="shared" si="2"/>
        <v>0.62109375</v>
      </c>
      <c r="E27" s="21">
        <f t="shared" si="3"/>
        <v>1.6186078364031238</v>
      </c>
      <c r="F27" s="21">
        <f t="shared" si="4"/>
        <v>1.6213708177991502</v>
      </c>
      <c r="G27" s="21">
        <f t="shared" si="5"/>
        <v>2.6243635114050456</v>
      </c>
      <c r="H27" s="24">
        <f t="shared" si="6"/>
        <v>0.62893081761006298</v>
      </c>
    </row>
    <row r="28" spans="1:8" x14ac:dyDescent="0.2">
      <c r="A28" s="20">
        <v>8</v>
      </c>
      <c r="B28" s="24">
        <f t="shared" si="0"/>
        <v>0.62109375</v>
      </c>
      <c r="C28" s="24">
        <f t="shared" si="1"/>
        <v>0.625</v>
      </c>
      <c r="D28" s="21">
        <f t="shared" si="2"/>
        <v>0.623046875</v>
      </c>
      <c r="E28" s="21">
        <f t="shared" si="3"/>
        <v>1.6213708177991502</v>
      </c>
      <c r="F28" s="21">
        <f t="shared" si="4"/>
        <v>1.6227416488767807</v>
      </c>
      <c r="G28" s="21">
        <f t="shared" si="5"/>
        <v>2.6310659543160875</v>
      </c>
      <c r="H28" s="24">
        <f t="shared" si="6"/>
        <v>0.31347962382445138</v>
      </c>
    </row>
    <row r="29" spans="1:8" x14ac:dyDescent="0.2">
      <c r="A29" s="20">
        <v>9</v>
      </c>
      <c r="B29" s="24">
        <f t="shared" si="0"/>
        <v>0.623046875</v>
      </c>
      <c r="C29" s="24">
        <f t="shared" si="1"/>
        <v>0.625</v>
      </c>
      <c r="D29" s="21">
        <f t="shared" si="2"/>
        <v>0.6240234375</v>
      </c>
      <c r="E29" s="21">
        <f t="shared" si="3"/>
        <v>1.6227416488767807</v>
      </c>
      <c r="F29" s="21">
        <f t="shared" si="4"/>
        <v>1.6234243860202584</v>
      </c>
      <c r="G29" s="21">
        <f t="shared" si="5"/>
        <v>2.6343983649972893</v>
      </c>
      <c r="H29" s="24">
        <f t="shared" si="6"/>
        <v>0.1564945226917058</v>
      </c>
    </row>
    <row r="30" spans="1:8" x14ac:dyDescent="0.2">
      <c r="A30" s="20">
        <v>10</v>
      </c>
      <c r="B30" s="24">
        <f t="shared" si="0"/>
        <v>0.6240234375</v>
      </c>
      <c r="C30" s="24">
        <f t="shared" si="1"/>
        <v>0.625</v>
      </c>
      <c r="D30" s="21">
        <f t="shared" si="2"/>
        <v>0.62451171875</v>
      </c>
      <c r="E30" s="21">
        <f t="shared" si="3"/>
        <v>1.6234243860202584</v>
      </c>
      <c r="F30" s="21">
        <f t="shared" si="4"/>
        <v>1.6237650833082722</v>
      </c>
      <c r="G30" s="21">
        <f t="shared" si="5"/>
        <v>2.6360598334108656</v>
      </c>
      <c r="H30" s="24">
        <f t="shared" si="6"/>
        <v>7.8186082877247848E-2</v>
      </c>
    </row>
    <row r="31" spans="1:8" x14ac:dyDescent="0.2">
      <c r="A31" s="20">
        <v>11</v>
      </c>
      <c r="B31" s="24">
        <f t="shared" si="0"/>
        <v>0.62451171875</v>
      </c>
      <c r="C31" s="24">
        <f t="shared" si="1"/>
        <v>0.625</v>
      </c>
      <c r="D31" s="21">
        <f t="shared" si="2"/>
        <v>0.624755859375</v>
      </c>
      <c r="E31" s="21">
        <f t="shared" si="3"/>
        <v>1.6237650833082722</v>
      </c>
      <c r="F31" s="21">
        <f t="shared" si="4"/>
        <v>1.6239352639208235</v>
      </c>
      <c r="G31" s="21">
        <f t="shared" si="5"/>
        <v>2.6368893791076369</v>
      </c>
      <c r="H31" s="24">
        <f t="shared" si="6"/>
        <v>3.9077764751856196E-2</v>
      </c>
    </row>
    <row r="32" spans="1:8" x14ac:dyDescent="0.2">
      <c r="A32" s="20">
        <v>12</v>
      </c>
      <c r="B32" s="24">
        <f t="shared" si="0"/>
        <v>0.624755859375</v>
      </c>
      <c r="C32" s="24">
        <f t="shared" si="1"/>
        <v>0.625</v>
      </c>
      <c r="D32" s="21">
        <f t="shared" si="2"/>
        <v>0.6248779296875</v>
      </c>
      <c r="E32" s="21">
        <f t="shared" si="3"/>
        <v>1.6239352639208235</v>
      </c>
      <c r="F32" s="21">
        <f t="shared" si="4"/>
        <v>1.6240203121929251</v>
      </c>
      <c r="G32" s="21">
        <f t="shared" si="5"/>
        <v>2.6373038542937959</v>
      </c>
      <c r="H32" s="24">
        <f t="shared" si="6"/>
        <v>1.9535065442469232E-2</v>
      </c>
    </row>
    <row r="33" spans="1:8" x14ac:dyDescent="0.2">
      <c r="A33" s="20">
        <v>13</v>
      </c>
      <c r="B33" s="24">
        <f t="shared" si="0"/>
        <v>0.6248779296875</v>
      </c>
      <c r="C33" s="24">
        <f t="shared" si="1"/>
        <v>0.625</v>
      </c>
      <c r="D33" s="21">
        <f t="shared" si="2"/>
        <v>0.62493896484375</v>
      </c>
      <c r="E33" s="21">
        <f t="shared" si="3"/>
        <v>1.6240203121929251</v>
      </c>
      <c r="F33" s="21">
        <f t="shared" si="4"/>
        <v>1.6240628258171441</v>
      </c>
      <c r="G33" s="21">
        <f t="shared" si="5"/>
        <v>2.6375110174044827</v>
      </c>
      <c r="H33" s="24">
        <f t="shared" si="6"/>
        <v>9.7665787674577603E-3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25"/>
  <sheetViews>
    <sheetView workbookViewId="0">
      <selection activeCell="H32" sqref="H32"/>
    </sheetView>
  </sheetViews>
  <sheetFormatPr baseColWidth="10" defaultColWidth="12.5703125" defaultRowHeight="15" customHeight="1" x14ac:dyDescent="0.2"/>
  <cols>
    <col min="1" max="1" width="18.28515625" customWidth="1"/>
    <col min="10" max="10" width="13.5703125" bestFit="1" customWidth="1"/>
  </cols>
  <sheetData>
    <row r="1" spans="1:10" ht="12.75" x14ac:dyDescent="0.2">
      <c r="A1" s="33" t="s">
        <v>48</v>
      </c>
    </row>
    <row r="4" spans="1:10" ht="12.75" x14ac:dyDescent="0.2">
      <c r="C4" s="2"/>
      <c r="D4" s="2"/>
    </row>
    <row r="5" spans="1:10" ht="12.75" x14ac:dyDescent="0.2">
      <c r="B5" s="2" t="s">
        <v>5</v>
      </c>
      <c r="C5" s="36" t="s">
        <v>3</v>
      </c>
      <c r="D5" s="36" t="s">
        <v>74</v>
      </c>
      <c r="F5" s="15" t="s">
        <v>39</v>
      </c>
      <c r="G5" s="40">
        <v>5.0000000000000001E-3</v>
      </c>
    </row>
    <row r="6" spans="1:10" ht="12.75" x14ac:dyDescent="0.2">
      <c r="C6" s="36" t="s">
        <v>72</v>
      </c>
      <c r="D6" s="2">
        <v>2</v>
      </c>
    </row>
    <row r="7" spans="1:10" ht="15" customHeight="1" x14ac:dyDescent="0.2">
      <c r="C7" s="15" t="s">
        <v>73</v>
      </c>
      <c r="D7">
        <v>5</v>
      </c>
    </row>
    <row r="9" spans="1:10" ht="12.75" x14ac:dyDescent="0.2">
      <c r="B9" s="34" t="s">
        <v>70</v>
      </c>
      <c r="C9" s="35" t="s">
        <v>62</v>
      </c>
      <c r="D9" s="35" t="s">
        <v>63</v>
      </c>
      <c r="E9" s="35" t="s">
        <v>65</v>
      </c>
      <c r="F9" s="34" t="s">
        <v>71</v>
      </c>
      <c r="G9" s="37" t="s">
        <v>64</v>
      </c>
      <c r="H9" s="37" t="s">
        <v>66</v>
      </c>
      <c r="I9" s="37" t="s">
        <v>67</v>
      </c>
      <c r="J9" s="38" t="s">
        <v>68</v>
      </c>
    </row>
    <row r="10" spans="1:10" ht="12.75" x14ac:dyDescent="0.2">
      <c r="B10" s="2">
        <v>1</v>
      </c>
      <c r="C10" s="2">
        <f>D6</f>
        <v>2</v>
      </c>
      <c r="D10" s="2">
        <f>D7</f>
        <v>5</v>
      </c>
      <c r="E10" s="2">
        <f t="shared" ref="E10:F12" si="0">PI()*(1-EXP(-C10))/C10-0.5</f>
        <v>0.85821216100107844</v>
      </c>
      <c r="F10" s="2">
        <f t="shared" si="0"/>
        <v>0.12408495375943773</v>
      </c>
      <c r="G10">
        <f>D10 - (F10 * (D10 - C10)) / (F10 - E10)</f>
        <v>5.5070713326059639</v>
      </c>
      <c r="H10">
        <f>PI()*(1*-EXP(-G10))/G10-0.5</f>
        <v>-0.50231493328592991</v>
      </c>
      <c r="I10">
        <f>E10*H10</f>
        <v>-0.43109278439843046</v>
      </c>
    </row>
    <row r="11" spans="1:10" ht="12.75" x14ac:dyDescent="0.2">
      <c r="B11" s="2">
        <v>2</v>
      </c>
      <c r="C11" s="2">
        <f>IF(I10&lt;0,C10,G10)</f>
        <v>2</v>
      </c>
      <c r="D11" s="2">
        <f>IF(I10&gt;0,D10,G10)</f>
        <v>5.5070713326059639</v>
      </c>
      <c r="E11" s="2">
        <f t="shared" si="0"/>
        <v>0.85821216100107844</v>
      </c>
      <c r="F11" s="2">
        <f t="shared" si="0"/>
        <v>6.8150285675230848E-2</v>
      </c>
      <c r="G11">
        <f>D11 - (F11 * (D11 - C11)) / (F11 - E11)</f>
        <v>5.8095893007105941</v>
      </c>
      <c r="H11">
        <f>PI()*(1*-EXP(-G11))/G11-0.5</f>
        <v>-0.50162155567894673</v>
      </c>
      <c r="I11">
        <f>E11*H11</f>
        <v>-0.43049771930395164</v>
      </c>
      <c r="J11" s="39">
        <f>ABS((G11-G10)/G11*100)</f>
        <v>5.2072177988145905</v>
      </c>
    </row>
    <row r="12" spans="1:10" ht="12.75" x14ac:dyDescent="0.2">
      <c r="B12" s="2">
        <v>3</v>
      </c>
      <c r="C12" s="2">
        <f>IF(I11&lt;0,C11,G11)</f>
        <v>2</v>
      </c>
      <c r="D12" s="2">
        <f>IF(I11&gt;0,D11,G11)</f>
        <v>5.8095893007105941</v>
      </c>
      <c r="E12" s="2">
        <f t="shared" si="0"/>
        <v>0.85821216100107844</v>
      </c>
      <c r="F12" s="2">
        <f t="shared" si="0"/>
        <v>3.913829686442194E-2</v>
      </c>
      <c r="G12">
        <f>D12 - (F12 * (D12 - C12)) / (F12 - E12)</f>
        <v>5.9916251872296886</v>
      </c>
      <c r="H12">
        <f>PI()*(1*-EXP(-G12))/G12-0.5</f>
        <v>-0.50131061603911364</v>
      </c>
      <c r="I12">
        <f>E12*H12</f>
        <v>-0.43023086712370961</v>
      </c>
      <c r="J12" s="39">
        <f>ABS((G12-G11)/G12*100)</f>
        <v>3.0381721291091202</v>
      </c>
    </row>
    <row r="13" spans="1:10" ht="12.75" x14ac:dyDescent="0.2">
      <c r="B13" s="2">
        <v>4</v>
      </c>
      <c r="C13" s="2">
        <f t="shared" ref="C13:C25" si="1">IF(I12&lt;0,C12,G12)</f>
        <v>2</v>
      </c>
      <c r="D13" s="2">
        <f t="shared" ref="D13:D25" si="2">IF(I12&gt;0,D12,G12)</f>
        <v>5.9916251872296886</v>
      </c>
      <c r="E13" s="2">
        <f t="shared" ref="E13:E25" si="3">PI()*(1-EXP(-C13))/C13-0.5</f>
        <v>0.85821216100107844</v>
      </c>
      <c r="F13" s="2">
        <f t="shared" ref="F13:F25" si="4">PI()*(1-EXP(-D13))/D13-0.5</f>
        <v>2.3020021378870825E-2</v>
      </c>
      <c r="G13">
        <f t="shared" ref="G13:G25" si="5">D13 - (F13 * (D13 - C13)) / (F13 - E13)</f>
        <v>6.1016445382116453</v>
      </c>
      <c r="H13">
        <f t="shared" ref="H13:H25" si="6">PI()*(1*-EXP(-G13))/G13-0.5</f>
        <v>-0.5011529020614911</v>
      </c>
      <c r="I13">
        <f t="shared" ref="I13:I25" si="7">E13*H13</f>
        <v>-0.43009551507015409</v>
      </c>
      <c r="J13" s="39">
        <f t="shared" ref="J13:J25" si="8">ABS((G13-G12)/G13*100)</f>
        <v>1.8031098057738166</v>
      </c>
    </row>
    <row r="14" spans="1:10" ht="12.75" x14ac:dyDescent="0.2">
      <c r="B14" s="2">
        <v>5</v>
      </c>
      <c r="C14" s="2">
        <f t="shared" si="1"/>
        <v>2</v>
      </c>
      <c r="D14" s="2">
        <f t="shared" si="2"/>
        <v>6.1016445382116453</v>
      </c>
      <c r="E14" s="2">
        <f t="shared" si="3"/>
        <v>0.85821216100107844</v>
      </c>
      <c r="F14" s="2">
        <f t="shared" si="4"/>
        <v>1.3723478218533258E-2</v>
      </c>
      <c r="G14">
        <f t="shared" si="5"/>
        <v>6.1682988707420057</v>
      </c>
      <c r="H14">
        <f t="shared" si="6"/>
        <v>-0.50106690635526285</v>
      </c>
      <c r="I14">
        <f t="shared" si="7"/>
        <v>-0.43002171250927512</v>
      </c>
      <c r="J14" s="39">
        <f t="shared" si="8"/>
        <v>1.0805950542785918</v>
      </c>
    </row>
    <row r="15" spans="1:10" ht="12.75" x14ac:dyDescent="0.2">
      <c r="B15" s="2">
        <v>6</v>
      </c>
      <c r="C15" s="2">
        <f t="shared" si="1"/>
        <v>2</v>
      </c>
      <c r="D15" s="2">
        <f t="shared" si="2"/>
        <v>6.1682988707420057</v>
      </c>
      <c r="E15" s="2">
        <f t="shared" si="3"/>
        <v>0.85821216100107844</v>
      </c>
      <c r="F15" s="2">
        <f t="shared" si="4"/>
        <v>8.245745223806944E-3</v>
      </c>
      <c r="G15">
        <f t="shared" si="5"/>
        <v>6.2087366220070246</v>
      </c>
      <c r="H15">
        <f t="shared" si="6"/>
        <v>-0.50101795031462681</v>
      </c>
      <c r="I15">
        <f t="shared" si="7"/>
        <v>-0.42997969783984685</v>
      </c>
      <c r="J15" s="39">
        <f t="shared" si="8"/>
        <v>0.65130402088061334</v>
      </c>
    </row>
    <row r="16" spans="1:10" ht="12.75" x14ac:dyDescent="0.2">
      <c r="B16" s="2">
        <v>7</v>
      </c>
      <c r="C16" s="2">
        <f t="shared" si="1"/>
        <v>2</v>
      </c>
      <c r="D16" s="2">
        <f t="shared" si="2"/>
        <v>6.2087366220070246</v>
      </c>
      <c r="E16" s="2">
        <f t="shared" si="3"/>
        <v>0.85821216100107844</v>
      </c>
      <c r="F16" s="2">
        <f t="shared" si="4"/>
        <v>4.9775274858550045E-3</v>
      </c>
      <c r="G16">
        <f t="shared" si="5"/>
        <v>6.2332891910119379</v>
      </c>
      <c r="H16">
        <f t="shared" si="6"/>
        <v>-0.50098934894876845</v>
      </c>
      <c r="I16">
        <f t="shared" si="7"/>
        <v>-0.42995515179984595</v>
      </c>
      <c r="J16" s="39">
        <f t="shared" si="8"/>
        <v>0.39389427078590827</v>
      </c>
    </row>
    <row r="17" spans="2:10" ht="12.75" x14ac:dyDescent="0.2">
      <c r="B17" s="2">
        <v>8</v>
      </c>
      <c r="C17" s="2">
        <f t="shared" si="1"/>
        <v>2</v>
      </c>
      <c r="D17" s="2">
        <f t="shared" si="2"/>
        <v>6.2332891910119379</v>
      </c>
      <c r="E17" s="2">
        <f t="shared" si="3"/>
        <v>0.85821216100107844</v>
      </c>
      <c r="F17" s="2">
        <f t="shared" si="4"/>
        <v>3.0130416542213379E-3</v>
      </c>
      <c r="G17">
        <f t="shared" si="5"/>
        <v>6.2482039358688146</v>
      </c>
      <c r="H17">
        <f t="shared" si="6"/>
        <v>-0.50097237589772559</v>
      </c>
      <c r="I17">
        <f t="shared" si="7"/>
        <v>-0.42994058532103169</v>
      </c>
      <c r="J17" s="39">
        <f t="shared" si="8"/>
        <v>0.23870451428859799</v>
      </c>
    </row>
    <row r="18" spans="2:10" ht="15" customHeight="1" x14ac:dyDescent="0.2">
      <c r="B18" s="2">
        <v>9</v>
      </c>
      <c r="C18" s="2">
        <f t="shared" si="1"/>
        <v>2</v>
      </c>
      <c r="D18" s="2">
        <f t="shared" si="2"/>
        <v>6.2482039358688146</v>
      </c>
      <c r="E18" s="2">
        <f t="shared" si="3"/>
        <v>0.85821216100107844</v>
      </c>
      <c r="F18" s="2">
        <f t="shared" si="4"/>
        <v>1.8269382467724915E-3</v>
      </c>
      <c r="G18">
        <f t="shared" si="5"/>
        <v>6.2572666871217688</v>
      </c>
      <c r="H18">
        <f t="shared" si="6"/>
        <v>-0.50096220766791399</v>
      </c>
      <c r="I18">
        <f t="shared" si="7"/>
        <v>-0.42993185882255153</v>
      </c>
      <c r="J18" s="39">
        <f t="shared" si="8"/>
        <v>0.14483562402105155</v>
      </c>
    </row>
    <row r="19" spans="2:10" ht="15" customHeight="1" x14ac:dyDescent="0.2">
      <c r="B19" s="2">
        <v>10</v>
      </c>
      <c r="C19" s="2">
        <f t="shared" si="1"/>
        <v>2</v>
      </c>
      <c r="D19" s="2">
        <f t="shared" si="2"/>
        <v>6.2572666871217688</v>
      </c>
      <c r="E19" s="2">
        <f t="shared" si="3"/>
        <v>0.85821216100107844</v>
      </c>
      <c r="F19" s="2">
        <f t="shared" si="4"/>
        <v>1.1088739523692492E-3</v>
      </c>
      <c r="G19">
        <f t="shared" si="5"/>
        <v>6.2627745088848776</v>
      </c>
      <c r="H19">
        <f t="shared" si="6"/>
        <v>-0.50095608099830657</v>
      </c>
      <c r="I19">
        <f t="shared" si="7"/>
        <v>-0.42992660084018797</v>
      </c>
      <c r="J19" s="39">
        <f t="shared" si="8"/>
        <v>8.794539473351598E-2</v>
      </c>
    </row>
    <row r="20" spans="2:10" ht="15" customHeight="1" x14ac:dyDescent="0.2">
      <c r="B20" s="2">
        <v>11</v>
      </c>
      <c r="C20" s="2">
        <f t="shared" si="1"/>
        <v>2</v>
      </c>
      <c r="D20" s="2">
        <f t="shared" si="2"/>
        <v>6.2627745088848776</v>
      </c>
      <c r="E20" s="2">
        <f t="shared" si="3"/>
        <v>0.85821216100107844</v>
      </c>
      <c r="F20" s="2">
        <f t="shared" si="4"/>
        <v>6.7345222740289312E-4</v>
      </c>
      <c r="G20">
        <f t="shared" si="5"/>
        <v>6.2661222003168247</v>
      </c>
      <c r="H20">
        <f t="shared" si="6"/>
        <v>-0.50095237660402803</v>
      </c>
      <c r="I20">
        <f t="shared" si="7"/>
        <v>-0.42992342168396896</v>
      </c>
      <c r="J20" s="39">
        <f t="shared" si="8"/>
        <v>5.3425249698733218E-2</v>
      </c>
    </row>
    <row r="21" spans="2:10" ht="15" customHeight="1" x14ac:dyDescent="0.2">
      <c r="B21" s="2">
        <v>12</v>
      </c>
      <c r="C21" s="2">
        <f t="shared" si="1"/>
        <v>2</v>
      </c>
      <c r="D21" s="2">
        <f t="shared" si="2"/>
        <v>6.2661222003168247</v>
      </c>
      <c r="E21" s="2">
        <f t="shared" si="3"/>
        <v>0.85821216100107844</v>
      </c>
      <c r="F21" s="2">
        <f t="shared" si="4"/>
        <v>4.0915979099298561E-4</v>
      </c>
      <c r="G21">
        <f t="shared" si="5"/>
        <v>6.2681570797301278</v>
      </c>
      <c r="H21">
        <f t="shared" si="6"/>
        <v>-0.50095013205416772</v>
      </c>
      <c r="I21">
        <f t="shared" si="7"/>
        <v>-0.42992149538398289</v>
      </c>
      <c r="J21" s="39">
        <f t="shared" si="8"/>
        <v>3.24637590829292E-2</v>
      </c>
    </row>
    <row r="22" spans="2:10" ht="15" customHeight="1" x14ac:dyDescent="0.2">
      <c r="B22" s="2">
        <v>13</v>
      </c>
      <c r="C22" s="2">
        <f t="shared" si="1"/>
        <v>2</v>
      </c>
      <c r="D22" s="2">
        <f t="shared" si="2"/>
        <v>6.2681570797301278</v>
      </c>
      <c r="E22" s="2">
        <f t="shared" si="3"/>
        <v>0.85821216100107844</v>
      </c>
      <c r="F22" s="2">
        <f t="shared" si="4"/>
        <v>2.4864353954356933E-4</v>
      </c>
      <c r="G22">
        <f t="shared" si="5"/>
        <v>6.2693940200685372</v>
      </c>
      <c r="H22">
        <f t="shared" si="6"/>
        <v>-0.50094877029642559</v>
      </c>
      <c r="I22">
        <f t="shared" si="7"/>
        <v>-0.42992032670692826</v>
      </c>
      <c r="J22" s="39">
        <f t="shared" si="8"/>
        <v>1.9729822921479952E-2</v>
      </c>
    </row>
    <row r="23" spans="2:10" ht="15" customHeight="1" x14ac:dyDescent="0.2">
      <c r="B23" s="2">
        <v>14</v>
      </c>
      <c r="C23" s="2">
        <f t="shared" si="1"/>
        <v>2</v>
      </c>
      <c r="D23" s="2">
        <f t="shared" si="2"/>
        <v>6.2693940200685372</v>
      </c>
      <c r="E23" s="2">
        <f t="shared" si="3"/>
        <v>0.85821216100107844</v>
      </c>
      <c r="F23" s="2">
        <f t="shared" si="4"/>
        <v>1.5111966637648688E-4</v>
      </c>
      <c r="G23">
        <f t="shared" si="5"/>
        <v>6.270145935572053</v>
      </c>
      <c r="H23">
        <f t="shared" si="6"/>
        <v>-0.5009479434785139</v>
      </c>
      <c r="I23">
        <f t="shared" si="7"/>
        <v>-0.42991961712174154</v>
      </c>
      <c r="J23" s="39">
        <f t="shared" si="8"/>
        <v>1.1991993667165444E-2</v>
      </c>
    </row>
    <row r="24" spans="2:10" ht="15" customHeight="1" x14ac:dyDescent="0.2">
      <c r="B24" s="2">
        <v>15</v>
      </c>
      <c r="C24" s="2">
        <f t="shared" si="1"/>
        <v>2</v>
      </c>
      <c r="D24" s="2">
        <f t="shared" si="2"/>
        <v>6.270145935572053</v>
      </c>
      <c r="E24" s="2">
        <f t="shared" si="3"/>
        <v>0.85821216100107844</v>
      </c>
      <c r="F24" s="2">
        <f t="shared" si="4"/>
        <v>9.1854617217612677E-5</v>
      </c>
      <c r="G24">
        <f t="shared" si="5"/>
        <v>6.2706030190572672</v>
      </c>
      <c r="H24">
        <f t="shared" si="6"/>
        <v>-0.50094744122128376</v>
      </c>
      <c r="I24">
        <f t="shared" si="7"/>
        <v>-0.42991918607847868</v>
      </c>
      <c r="J24" s="39">
        <f t="shared" si="8"/>
        <v>7.2893066874921636E-3</v>
      </c>
    </row>
    <row r="25" spans="2:10" ht="15" customHeight="1" x14ac:dyDescent="0.2">
      <c r="B25" s="2">
        <v>16</v>
      </c>
      <c r="C25" s="2">
        <f t="shared" si="1"/>
        <v>2</v>
      </c>
      <c r="D25" s="2">
        <f t="shared" si="2"/>
        <v>6.2706030190572672</v>
      </c>
      <c r="E25" s="2">
        <f t="shared" si="3"/>
        <v>0.85821216100107844</v>
      </c>
      <c r="F25" s="2">
        <f t="shared" si="4"/>
        <v>5.5834546938138274E-5</v>
      </c>
      <c r="G25">
        <f t="shared" si="5"/>
        <v>6.2708808789032782</v>
      </c>
      <c r="H25">
        <f t="shared" si="6"/>
        <v>-0.50094713603296126</v>
      </c>
      <c r="I25">
        <f t="shared" si="7"/>
        <v>-0.42991892416214889</v>
      </c>
      <c r="J25" s="39">
        <f t="shared" si="8"/>
        <v>4.4309539820108117E-3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FB84E-0121-4214-8165-6F31BCE405D5}">
  <dimension ref="A1:J25"/>
  <sheetViews>
    <sheetView workbookViewId="0">
      <selection activeCell="D5" sqref="D5"/>
    </sheetView>
  </sheetViews>
  <sheetFormatPr baseColWidth="10" defaultRowHeight="12.75" x14ac:dyDescent="0.2"/>
  <sheetData>
    <row r="1" spans="1:10" x14ac:dyDescent="0.2">
      <c r="A1" s="33" t="s">
        <v>48</v>
      </c>
    </row>
    <row r="4" spans="1:10" x14ac:dyDescent="0.2">
      <c r="C4" s="2"/>
      <c r="D4" s="2"/>
    </row>
    <row r="5" spans="1:10" x14ac:dyDescent="0.2">
      <c r="B5" s="2" t="s">
        <v>5</v>
      </c>
      <c r="C5" s="36" t="s">
        <v>3</v>
      </c>
      <c r="D5" s="2" t="s">
        <v>78</v>
      </c>
      <c r="F5" s="15"/>
      <c r="G5" s="40"/>
    </row>
    <row r="6" spans="1:10" x14ac:dyDescent="0.2">
      <c r="C6" s="36" t="s">
        <v>72</v>
      </c>
      <c r="D6" s="2">
        <v>1</v>
      </c>
    </row>
    <row r="7" spans="1:10" x14ac:dyDescent="0.2">
      <c r="C7" s="15" t="s">
        <v>73</v>
      </c>
      <c r="D7">
        <v>2</v>
      </c>
    </row>
    <row r="9" spans="1:10" x14ac:dyDescent="0.2">
      <c r="B9" s="34" t="s">
        <v>70</v>
      </c>
      <c r="C9" s="35" t="s">
        <v>62</v>
      </c>
      <c r="D9" s="35" t="s">
        <v>63</v>
      </c>
      <c r="E9" s="35" t="s">
        <v>65</v>
      </c>
      <c r="F9" s="34" t="s">
        <v>71</v>
      </c>
      <c r="G9" s="37" t="s">
        <v>64</v>
      </c>
      <c r="H9" s="37" t="s">
        <v>66</v>
      </c>
      <c r="I9" s="37" t="s">
        <v>67</v>
      </c>
      <c r="J9" s="37" t="s">
        <v>68</v>
      </c>
    </row>
    <row r="10" spans="1:10" x14ac:dyDescent="0.2">
      <c r="B10" s="44">
        <v>1</v>
      </c>
      <c r="C10" s="44">
        <f>D6</f>
        <v>1</v>
      </c>
      <c r="D10" s="44">
        <f>D7</f>
        <v>2</v>
      </c>
      <c r="E10" s="44">
        <f t="shared" ref="E10:F12" si="0" xml:space="preserve"> (C10*C10*C10) -(C10) -1</f>
        <v>-1</v>
      </c>
      <c r="F10" s="44">
        <f t="shared" si="0"/>
        <v>5</v>
      </c>
      <c r="G10" s="20">
        <f>D10 - (F10 * (D10 - C10)) / (F10 - E10)</f>
        <v>1.1666666666666665</v>
      </c>
      <c r="H10" s="20">
        <f xml:space="preserve"> (G10*G10*G10) -(G10) -1</f>
        <v>-0.57870370370370416</v>
      </c>
      <c r="I10" s="20">
        <f>E10*H10</f>
        <v>0.57870370370370416</v>
      </c>
      <c r="J10" s="20"/>
    </row>
    <row r="11" spans="1:10" x14ac:dyDescent="0.2">
      <c r="B11" s="44">
        <v>2</v>
      </c>
      <c r="C11" s="44">
        <f>IF(I10&lt;0,C10,G10)</f>
        <v>1.1666666666666665</v>
      </c>
      <c r="D11" s="44">
        <f>IF(I10&gt;0,D10,G10)</f>
        <v>2</v>
      </c>
      <c r="E11" s="44">
        <f t="shared" si="0"/>
        <v>-0.57870370370370416</v>
      </c>
      <c r="F11" s="44">
        <f t="shared" si="0"/>
        <v>5</v>
      </c>
      <c r="G11" s="20">
        <f>D11 - (F11 * (D11 - C11)) / (F11 - E11)</f>
        <v>1.2531120331950207</v>
      </c>
      <c r="H11" s="20">
        <f xml:space="preserve"> (G11*G11*G11) -(G11) -1</f>
        <v>-0.28536302963931992</v>
      </c>
      <c r="I11" s="20">
        <f>E11*H11</f>
        <v>0.16514064215238433</v>
      </c>
      <c r="J11" s="45">
        <f>ABS((G11-G10)/G11*100)</f>
        <v>6.8984547461368768</v>
      </c>
    </row>
    <row r="12" spans="1:10" x14ac:dyDescent="0.2">
      <c r="B12" s="44">
        <v>3</v>
      </c>
      <c r="C12" s="44">
        <f>IF(I11&lt;0,C11,G11)</f>
        <v>1.2531120331950207</v>
      </c>
      <c r="D12" s="44">
        <f>IF(I11&gt;0,D11,G11)</f>
        <v>2</v>
      </c>
      <c r="E12" s="44">
        <f t="shared" si="0"/>
        <v>-0.28536302963931992</v>
      </c>
      <c r="F12" s="44">
        <f t="shared" si="0"/>
        <v>5</v>
      </c>
      <c r="G12" s="20">
        <f>D12 - (F12 * (D12 - C12)) / (F12 - E12)</f>
        <v>1.2934374019186834</v>
      </c>
      <c r="H12" s="20">
        <f xml:space="preserve"> (G12*G12*G12) -(G12) -1</f>
        <v>-0.12954209282197193</v>
      </c>
      <c r="I12" s="20">
        <f>E12*H12</f>
        <v>3.6966524073495911E-2</v>
      </c>
      <c r="J12" s="45">
        <f>ABS((G12-G11)/G12*100)</f>
        <v>3.1176900145182174</v>
      </c>
    </row>
    <row r="13" spans="1:10" x14ac:dyDescent="0.2">
      <c r="B13" s="44">
        <v>4</v>
      </c>
      <c r="C13" s="44">
        <f t="shared" ref="C13:C25" si="1">IF(I12&lt;0,C12,G12)</f>
        <v>1.2934374019186834</v>
      </c>
      <c r="D13" s="44">
        <f t="shared" ref="D13:D25" si="2">IF(I12&gt;0,D12,G12)</f>
        <v>2</v>
      </c>
      <c r="E13" s="44">
        <f t="shared" ref="E13:E25" si="3" xml:space="preserve"> (C13*C13*C13) -(C13) -1</f>
        <v>-0.12954209282197193</v>
      </c>
      <c r="F13" s="44">
        <f t="shared" ref="F13:F25" si="4" xml:space="preserve"> (D13*D13*D13) -(D13) -1</f>
        <v>5</v>
      </c>
      <c r="G13" s="20">
        <f t="shared" ref="G13:G25" si="5">D13 - (F13 * (D13 - C13)) / (F13 - E13)</f>
        <v>1.3112810214872344</v>
      </c>
      <c r="H13" s="20">
        <f t="shared" ref="H13:H25" si="6" xml:space="preserve"> (G13*G13*G13) -(G13) -1</f>
        <v>-5.6588487269249477E-2</v>
      </c>
      <c r="I13" s="20">
        <f t="shared" ref="I13:I25" si="7">E13*H13</f>
        <v>7.3305910704880928E-3</v>
      </c>
      <c r="J13" s="45">
        <f t="shared" ref="J13:J25" si="8">ABS((G13-G12)/G13*100)</f>
        <v>1.3607776880895452</v>
      </c>
    </row>
    <row r="14" spans="1:10" x14ac:dyDescent="0.2">
      <c r="B14" s="44">
        <v>5</v>
      </c>
      <c r="C14" s="44">
        <f t="shared" si="1"/>
        <v>1.3112810214872344</v>
      </c>
      <c r="D14" s="44">
        <f t="shared" si="2"/>
        <v>2</v>
      </c>
      <c r="E14" s="44">
        <f t="shared" si="3"/>
        <v>-5.6588487269249477E-2</v>
      </c>
      <c r="F14" s="44">
        <f t="shared" si="4"/>
        <v>5</v>
      </c>
      <c r="G14" s="20">
        <f t="shared" si="5"/>
        <v>1.3189885035664628</v>
      </c>
      <c r="H14" s="20">
        <f t="shared" si="6"/>
        <v>-2.4303747183596958E-2</v>
      </c>
      <c r="I14" s="20">
        <f t="shared" si="7"/>
        <v>1.3753122880940344E-3</v>
      </c>
      <c r="J14" s="45">
        <f t="shared" si="8"/>
        <v>0.5843479346778151</v>
      </c>
    </row>
    <row r="15" spans="1:10" x14ac:dyDescent="0.2">
      <c r="B15" s="44">
        <v>6</v>
      </c>
      <c r="C15" s="44">
        <f t="shared" si="1"/>
        <v>1.3189885035664628</v>
      </c>
      <c r="D15" s="44">
        <f t="shared" si="2"/>
        <v>2</v>
      </c>
      <c r="E15" s="44">
        <f t="shared" si="3"/>
        <v>-2.4303747183596958E-2</v>
      </c>
      <c r="F15" s="44">
        <f t="shared" si="4"/>
        <v>5</v>
      </c>
      <c r="G15" s="20">
        <f t="shared" si="5"/>
        <v>1.3222827174657958</v>
      </c>
      <c r="H15" s="20">
        <f t="shared" si="6"/>
        <v>-1.036185006965229E-2</v>
      </c>
      <c r="I15" s="20">
        <f t="shared" si="7"/>
        <v>2.5183178444716575E-4</v>
      </c>
      <c r="J15" s="45">
        <f t="shared" si="8"/>
        <v>0.24913082927125649</v>
      </c>
    </row>
    <row r="16" spans="1:10" x14ac:dyDescent="0.2">
      <c r="B16" s="44">
        <v>7</v>
      </c>
      <c r="C16" s="44">
        <f t="shared" si="1"/>
        <v>1.3222827174657958</v>
      </c>
      <c r="D16" s="44">
        <f t="shared" si="2"/>
        <v>2</v>
      </c>
      <c r="E16" s="44">
        <f t="shared" si="3"/>
        <v>-1.036185006965229E-2</v>
      </c>
      <c r="F16" s="44">
        <f t="shared" si="4"/>
        <v>5</v>
      </c>
      <c r="G16" s="20">
        <f t="shared" si="5"/>
        <v>1.3236842938551607</v>
      </c>
      <c r="H16" s="20">
        <f t="shared" si="6"/>
        <v>-4.4039498807850741E-3</v>
      </c>
      <c r="I16" s="20">
        <f t="shared" si="7"/>
        <v>4.5633068378958015E-5</v>
      </c>
      <c r="J16" s="45">
        <f t="shared" si="8"/>
        <v>0.10588449193446813</v>
      </c>
    </row>
    <row r="17" spans="2:10" x14ac:dyDescent="0.2">
      <c r="B17" s="44">
        <v>8</v>
      </c>
      <c r="C17" s="44">
        <f t="shared" si="1"/>
        <v>1.3236842938551607</v>
      </c>
      <c r="D17" s="44">
        <f t="shared" si="2"/>
        <v>2</v>
      </c>
      <c r="E17" s="44">
        <f t="shared" si="3"/>
        <v>-4.4039498807850741E-3</v>
      </c>
      <c r="F17" s="44">
        <f t="shared" si="4"/>
        <v>5</v>
      </c>
      <c r="G17" s="20">
        <f t="shared" si="5"/>
        <v>1.3242794617319507</v>
      </c>
      <c r="H17" s="20">
        <f t="shared" si="6"/>
        <v>-1.8692583743709079E-3</v>
      </c>
      <c r="I17" s="20">
        <f t="shared" si="7"/>
        <v>8.2321201949672605E-6</v>
      </c>
      <c r="J17" s="45">
        <f t="shared" si="8"/>
        <v>4.4942770313113473E-2</v>
      </c>
    </row>
    <row r="18" spans="2:10" x14ac:dyDescent="0.2">
      <c r="B18" s="46">
        <v>9</v>
      </c>
      <c r="C18" s="46">
        <f t="shared" si="1"/>
        <v>1.3242794617319507</v>
      </c>
      <c r="D18" s="46">
        <f t="shared" si="2"/>
        <v>2</v>
      </c>
      <c r="E18" s="46">
        <f t="shared" si="3"/>
        <v>-1.8692583743709079E-3</v>
      </c>
      <c r="F18" s="46">
        <f t="shared" si="4"/>
        <v>5</v>
      </c>
      <c r="G18" s="28">
        <f t="shared" si="5"/>
        <v>1.3245319865800917</v>
      </c>
      <c r="H18" s="28">
        <f t="shared" si="6"/>
        <v>-7.9295919325206299E-4</v>
      </c>
      <c r="I18" s="28">
        <f t="shared" si="7"/>
        <v>1.4822456125208179E-6</v>
      </c>
      <c r="J18" s="47">
        <f t="shared" si="8"/>
        <v>1.9065213275302011E-2</v>
      </c>
    </row>
    <row r="19" spans="2:10" x14ac:dyDescent="0.2">
      <c r="B19" s="44">
        <v>10</v>
      </c>
      <c r="C19" s="44">
        <f t="shared" si="1"/>
        <v>1.3245319865800917</v>
      </c>
      <c r="D19" s="44">
        <f t="shared" si="2"/>
        <v>2</v>
      </c>
      <c r="E19" s="44">
        <f t="shared" si="3"/>
        <v>-7.9295919325206299E-4</v>
      </c>
      <c r="F19" s="44">
        <f t="shared" si="4"/>
        <v>5</v>
      </c>
      <c r="G19" s="20">
        <f t="shared" si="5"/>
        <v>1.3246390933080365</v>
      </c>
      <c r="H19" s="20">
        <f t="shared" si="6"/>
        <v>-3.3630103006099255E-4</v>
      </c>
      <c r="I19" s="20">
        <f t="shared" si="7"/>
        <v>2.6667299348700244E-7</v>
      </c>
      <c r="J19" s="45">
        <f t="shared" si="8"/>
        <v>8.0857290476989176E-3</v>
      </c>
    </row>
    <row r="20" spans="2:10" x14ac:dyDescent="0.2">
      <c r="B20" s="44">
        <v>11</v>
      </c>
      <c r="C20" s="44">
        <f t="shared" si="1"/>
        <v>1.3246390933080365</v>
      </c>
      <c r="D20" s="44">
        <f t="shared" si="2"/>
        <v>2</v>
      </c>
      <c r="E20" s="44">
        <f t="shared" si="3"/>
        <v>-3.3630103006099255E-4</v>
      </c>
      <c r="F20" s="44">
        <f t="shared" si="4"/>
        <v>5</v>
      </c>
      <c r="G20" s="20">
        <f t="shared" si="5"/>
        <v>1.3246845151666697</v>
      </c>
      <c r="H20" s="20">
        <f t="shared" si="6"/>
        <v>-1.4261374516300052E-4</v>
      </c>
      <c r="I20" s="20">
        <f t="shared" si="7"/>
        <v>4.7961149399172965E-8</v>
      </c>
      <c r="J20" s="45">
        <f t="shared" si="8"/>
        <v>3.4288812251644018E-3</v>
      </c>
    </row>
    <row r="21" spans="2:10" x14ac:dyDescent="0.2">
      <c r="B21" s="44">
        <v>12</v>
      </c>
      <c r="C21" s="44">
        <f t="shared" si="1"/>
        <v>1.3246845151666697</v>
      </c>
      <c r="D21" s="44">
        <f t="shared" si="2"/>
        <v>2</v>
      </c>
      <c r="E21" s="44">
        <f t="shared" si="3"/>
        <v>-1.4261374516300052E-4</v>
      </c>
      <c r="F21" s="44">
        <f t="shared" si="4"/>
        <v>5</v>
      </c>
      <c r="G21" s="20">
        <f t="shared" si="5"/>
        <v>1.324703776471376</v>
      </c>
      <c r="H21" s="20">
        <f t="shared" si="6"/>
        <v>-6.0474994884263111E-5</v>
      </c>
      <c r="I21" s="20">
        <f t="shared" si="7"/>
        <v>8.624565509158059E-9</v>
      </c>
      <c r="J21" s="45">
        <f t="shared" si="8"/>
        <v>1.4540084393519937E-3</v>
      </c>
    </row>
    <row r="22" spans="2:10" x14ac:dyDescent="0.2">
      <c r="B22" s="44">
        <v>13</v>
      </c>
      <c r="C22" s="44">
        <f t="shared" si="1"/>
        <v>1.324703776471376</v>
      </c>
      <c r="D22" s="44">
        <f t="shared" si="2"/>
        <v>2</v>
      </c>
      <c r="E22" s="44">
        <f t="shared" si="3"/>
        <v>-6.0474994884263111E-5</v>
      </c>
      <c r="F22" s="44">
        <f t="shared" si="4"/>
        <v>5</v>
      </c>
      <c r="G22" s="20">
        <f t="shared" si="5"/>
        <v>1.3247119440797213</v>
      </c>
      <c r="H22" s="20">
        <f t="shared" si="6"/>
        <v>-2.5643798293284448E-5</v>
      </c>
      <c r="I22" s="20">
        <f t="shared" si="7"/>
        <v>1.550808570599452E-9</v>
      </c>
      <c r="J22" s="45">
        <f t="shared" si="8"/>
        <v>6.1655731132438413E-4</v>
      </c>
    </row>
    <row r="23" spans="2:10" x14ac:dyDescent="0.2">
      <c r="B23" s="44">
        <v>14</v>
      </c>
      <c r="C23" s="44">
        <f t="shared" si="1"/>
        <v>1.3247119440797213</v>
      </c>
      <c r="D23" s="44">
        <f t="shared" si="2"/>
        <v>2</v>
      </c>
      <c r="E23" s="44">
        <f t="shared" si="3"/>
        <v>-2.5643798293284448E-5</v>
      </c>
      <c r="F23" s="44">
        <f t="shared" si="4"/>
        <v>5</v>
      </c>
      <c r="G23" s="20">
        <f t="shared" si="5"/>
        <v>1.3247154074520977</v>
      </c>
      <c r="H23" s="20">
        <f t="shared" si="6"/>
        <v>-1.087390403009536E-5</v>
      </c>
      <c r="I23" s="20">
        <f t="shared" si="7"/>
        <v>2.788482016082983E-10</v>
      </c>
      <c r="J23" s="45">
        <f t="shared" si="8"/>
        <v>2.6144274890752917E-4</v>
      </c>
    </row>
    <row r="24" spans="2:10" x14ac:dyDescent="0.2">
      <c r="B24" s="44">
        <v>15</v>
      </c>
      <c r="C24" s="44">
        <f t="shared" si="1"/>
        <v>1.3247154074520977</v>
      </c>
      <c r="D24" s="44">
        <f t="shared" si="2"/>
        <v>2</v>
      </c>
      <c r="E24" s="44">
        <f t="shared" si="3"/>
        <v>-1.087390403009536E-5</v>
      </c>
      <c r="F24" s="44">
        <f t="shared" si="4"/>
        <v>5</v>
      </c>
      <c r="G24" s="20">
        <f t="shared" si="5"/>
        <v>1.3247168760448742</v>
      </c>
      <c r="H24" s="20">
        <f t="shared" si="6"/>
        <v>-4.6109160056762022E-6</v>
      </c>
      <c r="I24" s="20">
        <f t="shared" si="7"/>
        <v>5.0138658136553659E-11</v>
      </c>
      <c r="J24" s="45">
        <f t="shared" si="8"/>
        <v>1.1086087926076021E-4</v>
      </c>
    </row>
    <row r="25" spans="2:10" x14ac:dyDescent="0.2">
      <c r="B25" s="44">
        <v>16</v>
      </c>
      <c r="C25" s="44">
        <f t="shared" si="1"/>
        <v>1.3247168760448742</v>
      </c>
      <c r="D25" s="44">
        <f t="shared" si="2"/>
        <v>2</v>
      </c>
      <c r="E25" s="44">
        <f t="shared" si="3"/>
        <v>-4.6109160056762022E-6</v>
      </c>
      <c r="F25" s="44">
        <f t="shared" si="4"/>
        <v>5</v>
      </c>
      <c r="G25" s="20">
        <f t="shared" si="5"/>
        <v>1.3247174987790529</v>
      </c>
      <c r="H25" s="20">
        <f t="shared" si="6"/>
        <v>-1.9551870886758138E-6</v>
      </c>
      <c r="I25" s="20">
        <f t="shared" si="7"/>
        <v>9.0152034412667662E-12</v>
      </c>
      <c r="J25" s="45">
        <f t="shared" si="8"/>
        <v>4.7008828617568347E-5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E38-53D1-40E5-A0D9-AFC3C1CBF500}">
  <dimension ref="A1:J25"/>
  <sheetViews>
    <sheetView workbookViewId="0">
      <selection activeCell="D6" sqref="D6"/>
    </sheetView>
  </sheetViews>
  <sheetFormatPr baseColWidth="10" defaultRowHeight="12.75" x14ac:dyDescent="0.2"/>
  <sheetData>
    <row r="1" spans="1:10" x14ac:dyDescent="0.2">
      <c r="A1" s="33" t="s">
        <v>48</v>
      </c>
    </row>
    <row r="4" spans="1:10" x14ac:dyDescent="0.2">
      <c r="C4" s="2"/>
      <c r="D4" s="2"/>
    </row>
    <row r="5" spans="1:10" x14ac:dyDescent="0.2">
      <c r="B5" s="2" t="s">
        <v>5</v>
      </c>
      <c r="C5" s="36" t="s">
        <v>3</v>
      </c>
      <c r="D5" s="2" t="s">
        <v>79</v>
      </c>
      <c r="F5" s="15"/>
      <c r="G5" s="40"/>
    </row>
    <row r="6" spans="1:10" x14ac:dyDescent="0.2">
      <c r="C6" s="36" t="s">
        <v>72</v>
      </c>
      <c r="D6" s="2">
        <v>0</v>
      </c>
    </row>
    <row r="7" spans="1:10" x14ac:dyDescent="0.2">
      <c r="C7" s="15" t="s">
        <v>73</v>
      </c>
      <c r="D7">
        <v>1</v>
      </c>
    </row>
    <row r="9" spans="1:10" x14ac:dyDescent="0.2">
      <c r="B9" s="34" t="s">
        <v>70</v>
      </c>
      <c r="C9" s="35" t="s">
        <v>62</v>
      </c>
      <c r="D9" s="35" t="s">
        <v>63</v>
      </c>
      <c r="E9" s="35" t="s">
        <v>65</v>
      </c>
      <c r="F9" s="34" t="s">
        <v>71</v>
      </c>
      <c r="G9" s="37" t="s">
        <v>64</v>
      </c>
      <c r="H9" s="37" t="s">
        <v>66</v>
      </c>
      <c r="I9" s="37" t="s">
        <v>67</v>
      </c>
      <c r="J9" s="37" t="s">
        <v>68</v>
      </c>
    </row>
    <row r="10" spans="1:10" x14ac:dyDescent="0.2">
      <c r="B10" s="44">
        <v>1</v>
      </c>
      <c r="C10" s="44">
        <f>D6</f>
        <v>0</v>
      </c>
      <c r="D10" s="44">
        <f>D7</f>
        <v>1</v>
      </c>
      <c r="E10" s="44">
        <f t="shared" ref="E10:F12" si="0" xml:space="preserve"> COS(C10) -C10</f>
        <v>1</v>
      </c>
      <c r="F10" s="44">
        <f t="shared" si="0"/>
        <v>-0.45969769413186023</v>
      </c>
      <c r="G10" s="20">
        <f>D10 - (F10 * (D10 - C10)) / (F10 - E10)</f>
        <v>0.68507335732604513</v>
      </c>
      <c r="H10" s="20">
        <f xml:space="preserve"> COS(G10) -G10</f>
        <v>8.9299276481859979E-2</v>
      </c>
      <c r="I10" s="20">
        <f>E10*H10</f>
        <v>8.9299276481859979E-2</v>
      </c>
      <c r="J10" s="20"/>
    </row>
    <row r="11" spans="1:10" x14ac:dyDescent="0.2">
      <c r="B11" s="44">
        <v>2</v>
      </c>
      <c r="C11" s="44">
        <f>IF(I10&lt;0,C10,G10)</f>
        <v>0.68507335732604513</v>
      </c>
      <c r="D11" s="44">
        <f>IF(I10&gt;0,D10,G10)</f>
        <v>1</v>
      </c>
      <c r="E11" s="44">
        <f t="shared" si="0"/>
        <v>8.9299276481859979E-2</v>
      </c>
      <c r="F11" s="44">
        <f t="shared" si="0"/>
        <v>-0.45969769413186023</v>
      </c>
      <c r="G11" s="20">
        <f>D11 - (F11 * (D11 - C11)) / (F11 - E11)</f>
        <v>0.73629899761365403</v>
      </c>
      <c r="H11" s="20">
        <f xml:space="preserve"> COS(G11) -G11</f>
        <v>4.6600390381426049E-3</v>
      </c>
      <c r="I11" s="20">
        <f>E11*H11</f>
        <v>4.1613811448335734E-4</v>
      </c>
      <c r="J11" s="45">
        <f>ABS((G11-G10)/G11*100)</f>
        <v>6.9571791423906948</v>
      </c>
    </row>
    <row r="12" spans="1:10" x14ac:dyDescent="0.2">
      <c r="B12" s="44">
        <v>3</v>
      </c>
      <c r="C12" s="44">
        <f>IF(I11&lt;0,C11,G11)</f>
        <v>0.73629899761365403</v>
      </c>
      <c r="D12" s="44">
        <f>IF(I11&gt;0,D11,G11)</f>
        <v>1</v>
      </c>
      <c r="E12" s="44">
        <f t="shared" si="0"/>
        <v>4.6600390381426049E-3</v>
      </c>
      <c r="F12" s="44">
        <f t="shared" si="0"/>
        <v>-0.45969769413186023</v>
      </c>
      <c r="G12" s="20">
        <f>D12 - (F12 * (D12 - C12)) / (F12 - E12)</f>
        <v>0.7389453559657132</v>
      </c>
      <c r="H12" s="20">
        <f xml:space="preserve"> COS(G12) -G12</f>
        <v>2.3392566577062901E-4</v>
      </c>
      <c r="I12" s="20">
        <f>E12*H12</f>
        <v>1.0901027345146304E-6</v>
      </c>
      <c r="J12" s="45">
        <f>ABS((G12-G11)/G12*100)</f>
        <v>0.35812639333807045</v>
      </c>
    </row>
    <row r="13" spans="1:10" x14ac:dyDescent="0.2">
      <c r="B13" s="44">
        <v>4</v>
      </c>
      <c r="C13" s="44">
        <f t="shared" ref="C13:C25" si="1">IF(I12&lt;0,C12,G12)</f>
        <v>0.7389453559657132</v>
      </c>
      <c r="D13" s="44">
        <f t="shared" ref="D13:D25" si="2">IF(I12&gt;0,D12,G12)</f>
        <v>1</v>
      </c>
      <c r="E13" s="44">
        <f t="shared" ref="E13:E25" si="3" xml:space="preserve"> COS(C13) -C13</f>
        <v>2.3392566577062901E-4</v>
      </c>
      <c r="F13" s="44">
        <f t="shared" ref="F13:F25" si="4" xml:space="preserve"> COS(D13) -D13</f>
        <v>-0.45969769413186023</v>
      </c>
      <c r="G13" s="20">
        <f t="shared" ref="G13:G25" si="5">D13 - (F13 * (D13 - C13)) / (F13 - E13)</f>
        <v>0.73907813088002572</v>
      </c>
      <c r="H13" s="20">
        <f t="shared" ref="H13:H25" si="6" xml:space="preserve"> COS(G13) -G13</f>
        <v>1.1719174194513293E-5</v>
      </c>
      <c r="I13" s="20">
        <f t="shared" ref="I13:I25" si="7">E13*H13</f>
        <v>2.7414156257334971E-9</v>
      </c>
      <c r="J13" s="45">
        <f t="shared" ref="J13:J25" si="8">ABS((G13-G12)/G13*100)</f>
        <v>1.7964936150176802E-2</v>
      </c>
    </row>
    <row r="14" spans="1:10" x14ac:dyDescent="0.2">
      <c r="B14" s="44">
        <v>5</v>
      </c>
      <c r="C14" s="44">
        <f t="shared" si="1"/>
        <v>0.73907813088002572</v>
      </c>
      <c r="D14" s="44">
        <f t="shared" si="2"/>
        <v>1</v>
      </c>
      <c r="E14" s="44">
        <f t="shared" si="3"/>
        <v>1.1719174194513293E-5</v>
      </c>
      <c r="F14" s="44">
        <f t="shared" si="4"/>
        <v>-0.45969769413186023</v>
      </c>
      <c r="G14" s="20">
        <f t="shared" si="5"/>
        <v>0.73908478244892306</v>
      </c>
      <c r="H14" s="20">
        <f t="shared" si="6"/>
        <v>5.8704654914976118E-7</v>
      </c>
      <c r="I14" s="20">
        <f t="shared" si="7"/>
        <v>6.8797007697739608E-12</v>
      </c>
      <c r="J14" s="45">
        <f t="shared" si="8"/>
        <v>8.9997373174193146E-4</v>
      </c>
    </row>
    <row r="15" spans="1:10" x14ac:dyDescent="0.2">
      <c r="B15" s="44">
        <v>6</v>
      </c>
      <c r="C15" s="44">
        <f t="shared" si="1"/>
        <v>0.73908478244892306</v>
      </c>
      <c r="D15" s="44">
        <f t="shared" si="2"/>
        <v>1</v>
      </c>
      <c r="E15" s="44">
        <f t="shared" si="3"/>
        <v>5.8704654914976118E-7</v>
      </c>
      <c r="F15" s="44">
        <f t="shared" si="4"/>
        <v>-0.45969769413186023</v>
      </c>
      <c r="G15" s="20">
        <f t="shared" si="5"/>
        <v>0.73908511564437829</v>
      </c>
      <c r="H15" s="20">
        <f t="shared" si="6"/>
        <v>2.9406672541476553E-8</v>
      </c>
      <c r="I15" s="20">
        <f t="shared" si="7"/>
        <v>1.7263085637450847E-14</v>
      </c>
      <c r="J15" s="45">
        <f t="shared" si="8"/>
        <v>4.5082149291572112E-5</v>
      </c>
    </row>
    <row r="16" spans="1:10" x14ac:dyDescent="0.2">
      <c r="B16" s="44">
        <v>7</v>
      </c>
      <c r="C16" s="44">
        <f t="shared" si="1"/>
        <v>0.73908511564437829</v>
      </c>
      <c r="D16" s="44">
        <f t="shared" si="2"/>
        <v>1</v>
      </c>
      <c r="E16" s="44">
        <f t="shared" si="3"/>
        <v>2.9406672541476553E-8</v>
      </c>
      <c r="F16" s="44">
        <f t="shared" si="4"/>
        <v>-0.45969769413186023</v>
      </c>
      <c r="G16" s="20">
        <f t="shared" si="5"/>
        <v>0.73908513233499518</v>
      </c>
      <c r="H16" s="20">
        <f t="shared" si="6"/>
        <v>1.4730554553921138E-9</v>
      </c>
      <c r="I16" s="20">
        <f t="shared" si="7"/>
        <v>4.3317659412151512E-17</v>
      </c>
      <c r="J16" s="45">
        <f t="shared" si="8"/>
        <v>2.2582806984428031E-6</v>
      </c>
    </row>
    <row r="17" spans="2:10" x14ac:dyDescent="0.2">
      <c r="B17" s="44">
        <v>8</v>
      </c>
      <c r="C17" s="44">
        <f t="shared" si="1"/>
        <v>0.73908513233499518</v>
      </c>
      <c r="D17" s="44">
        <f t="shared" si="2"/>
        <v>1</v>
      </c>
      <c r="E17" s="44">
        <f t="shared" si="3"/>
        <v>1.4730554553921138E-9</v>
      </c>
      <c r="F17" s="44">
        <f t="shared" si="4"/>
        <v>-0.45969769413186023</v>
      </c>
      <c r="G17" s="20">
        <f t="shared" si="5"/>
        <v>0.73908513317107083</v>
      </c>
      <c r="H17" s="20">
        <f t="shared" si="6"/>
        <v>7.3789196974871629E-11</v>
      </c>
      <c r="I17" s="20">
        <f t="shared" si="7"/>
        <v>1.0869557915283791E-19</v>
      </c>
      <c r="J17" s="45">
        <f t="shared" si="8"/>
        <v>1.1312305113854132E-7</v>
      </c>
    </row>
    <row r="18" spans="2:10" x14ac:dyDescent="0.2">
      <c r="B18" s="44">
        <v>9</v>
      </c>
      <c r="C18" s="44">
        <f t="shared" si="1"/>
        <v>0.73908513317107083</v>
      </c>
      <c r="D18" s="44">
        <f t="shared" si="2"/>
        <v>1</v>
      </c>
      <c r="E18" s="44">
        <f t="shared" si="3"/>
        <v>7.3789196974871629E-11</v>
      </c>
      <c r="F18" s="44">
        <f t="shared" si="4"/>
        <v>-0.45969769413186023</v>
      </c>
      <c r="G18" s="20">
        <f t="shared" si="5"/>
        <v>0.73908513321295199</v>
      </c>
      <c r="H18" s="20">
        <f t="shared" si="6"/>
        <v>3.6963765381869962E-12</v>
      </c>
      <c r="I18" s="20">
        <f t="shared" si="7"/>
        <v>2.7275265646957436E-22</v>
      </c>
      <c r="J18" s="45">
        <f t="shared" si="8"/>
        <v>5.6666226014415748E-9</v>
      </c>
    </row>
    <row r="19" spans="2:10" x14ac:dyDescent="0.2">
      <c r="B19" s="44">
        <v>10</v>
      </c>
      <c r="C19" s="44">
        <f t="shared" si="1"/>
        <v>0.73908513321295199</v>
      </c>
      <c r="D19" s="44">
        <f t="shared" si="2"/>
        <v>1</v>
      </c>
      <c r="E19" s="44">
        <f t="shared" si="3"/>
        <v>3.6963765381869962E-12</v>
      </c>
      <c r="F19" s="44">
        <f t="shared" si="4"/>
        <v>-0.45969769413186023</v>
      </c>
      <c r="G19" s="20">
        <f t="shared" si="5"/>
        <v>0.73908513321504998</v>
      </c>
      <c r="H19" s="20">
        <f t="shared" si="6"/>
        <v>1.8518520050747611E-13</v>
      </c>
      <c r="I19" s="20">
        <f t="shared" si="7"/>
        <v>6.8451423037528932E-25</v>
      </c>
      <c r="J19" s="45">
        <f t="shared" si="8"/>
        <v>2.83862894184845E-10</v>
      </c>
    </row>
    <row r="20" spans="2:10" x14ac:dyDescent="0.2">
      <c r="B20" s="44">
        <v>11</v>
      </c>
      <c r="C20" s="44">
        <f t="shared" si="1"/>
        <v>0.73908513321504998</v>
      </c>
      <c r="D20" s="44">
        <f t="shared" si="2"/>
        <v>1</v>
      </c>
      <c r="E20" s="44">
        <f t="shared" si="3"/>
        <v>1.8518520050747611E-13</v>
      </c>
      <c r="F20" s="44">
        <f t="shared" si="4"/>
        <v>-0.45969769413186023</v>
      </c>
      <c r="G20" s="20">
        <f t="shared" si="5"/>
        <v>0.73908513321515512</v>
      </c>
      <c r="H20" s="20">
        <f t="shared" si="6"/>
        <v>9.2148511043887993E-15</v>
      </c>
      <c r="I20" s="20">
        <f t="shared" si="7"/>
        <v>1.7064540494127775E-27</v>
      </c>
      <c r="J20" s="45">
        <f t="shared" si="8"/>
        <v>1.4225441117267821E-11</v>
      </c>
    </row>
    <row r="21" spans="2:10" x14ac:dyDescent="0.2">
      <c r="B21" s="46">
        <v>12</v>
      </c>
      <c r="C21" s="46">
        <f t="shared" si="1"/>
        <v>0.73908513321515512</v>
      </c>
      <c r="D21" s="46">
        <f t="shared" si="2"/>
        <v>1</v>
      </c>
      <c r="E21" s="46">
        <f t="shared" si="3"/>
        <v>9.2148511043887993E-15</v>
      </c>
      <c r="F21" s="46">
        <f t="shared" si="4"/>
        <v>-0.45969769413186023</v>
      </c>
      <c r="G21" s="28">
        <f t="shared" si="5"/>
        <v>0.73908513321516034</v>
      </c>
      <c r="H21" s="28">
        <f t="shared" si="6"/>
        <v>0</v>
      </c>
      <c r="I21" s="28">
        <f t="shared" si="7"/>
        <v>0</v>
      </c>
      <c r="J21" s="47">
        <f t="shared" si="8"/>
        <v>7.0601450106819724E-13</v>
      </c>
    </row>
    <row r="22" spans="2:10" x14ac:dyDescent="0.2">
      <c r="B22" s="44">
        <v>13</v>
      </c>
      <c r="C22" s="44">
        <f t="shared" si="1"/>
        <v>0.73908513321516034</v>
      </c>
      <c r="D22" s="44">
        <f t="shared" si="2"/>
        <v>0.73908513321516034</v>
      </c>
      <c r="E22" s="44">
        <f t="shared" si="3"/>
        <v>0</v>
      </c>
      <c r="F22" s="44">
        <f t="shared" si="4"/>
        <v>0</v>
      </c>
      <c r="G22" s="20" t="e">
        <f>D22 - (F22 * (D22 - C22)) / (F22 - E22)</f>
        <v>#DIV/0!</v>
      </c>
      <c r="H22" s="20" t="e">
        <f t="shared" si="6"/>
        <v>#DIV/0!</v>
      </c>
      <c r="I22" s="20" t="e">
        <f t="shared" si="7"/>
        <v>#DIV/0!</v>
      </c>
      <c r="J22" s="45" t="e">
        <f t="shared" si="8"/>
        <v>#DIV/0!</v>
      </c>
    </row>
    <row r="23" spans="2:10" x14ac:dyDescent="0.2">
      <c r="B23" s="44">
        <v>14</v>
      </c>
      <c r="C23" s="44" t="e">
        <f t="shared" si="1"/>
        <v>#DIV/0!</v>
      </c>
      <c r="D23" s="44" t="e">
        <f t="shared" si="2"/>
        <v>#DIV/0!</v>
      </c>
      <c r="E23" s="44" t="e">
        <f t="shared" si="3"/>
        <v>#DIV/0!</v>
      </c>
      <c r="F23" s="44" t="e">
        <f t="shared" si="4"/>
        <v>#DIV/0!</v>
      </c>
      <c r="G23" s="20" t="e">
        <f t="shared" si="5"/>
        <v>#DIV/0!</v>
      </c>
      <c r="H23" s="20" t="e">
        <f t="shared" si="6"/>
        <v>#DIV/0!</v>
      </c>
      <c r="I23" s="20" t="e">
        <f t="shared" si="7"/>
        <v>#DIV/0!</v>
      </c>
      <c r="J23" s="45" t="e">
        <f t="shared" si="8"/>
        <v>#DIV/0!</v>
      </c>
    </row>
    <row r="24" spans="2:10" x14ac:dyDescent="0.2">
      <c r="B24" s="44">
        <v>15</v>
      </c>
      <c r="C24" s="44" t="e">
        <f t="shared" si="1"/>
        <v>#DIV/0!</v>
      </c>
      <c r="D24" s="44" t="e">
        <f t="shared" si="2"/>
        <v>#DIV/0!</v>
      </c>
      <c r="E24" s="44" t="e">
        <f t="shared" si="3"/>
        <v>#DIV/0!</v>
      </c>
      <c r="F24" s="44" t="e">
        <f t="shared" si="4"/>
        <v>#DIV/0!</v>
      </c>
      <c r="G24" s="20" t="e">
        <f t="shared" si="5"/>
        <v>#DIV/0!</v>
      </c>
      <c r="H24" s="20" t="e">
        <f t="shared" si="6"/>
        <v>#DIV/0!</v>
      </c>
      <c r="I24" s="20" t="e">
        <f t="shared" si="7"/>
        <v>#DIV/0!</v>
      </c>
      <c r="J24" s="45" t="e">
        <f t="shared" si="8"/>
        <v>#DIV/0!</v>
      </c>
    </row>
    <row r="25" spans="2:10" x14ac:dyDescent="0.2">
      <c r="B25" s="44">
        <v>16</v>
      </c>
      <c r="C25" s="44" t="e">
        <f t="shared" si="1"/>
        <v>#DIV/0!</v>
      </c>
      <c r="D25" s="44" t="e">
        <f t="shared" si="2"/>
        <v>#DIV/0!</v>
      </c>
      <c r="E25" s="44" t="e">
        <f t="shared" si="3"/>
        <v>#DIV/0!</v>
      </c>
      <c r="F25" s="44" t="e">
        <f t="shared" si="4"/>
        <v>#DIV/0!</v>
      </c>
      <c r="G25" s="20" t="e">
        <f t="shared" si="5"/>
        <v>#DIV/0!</v>
      </c>
      <c r="H25" s="20" t="e">
        <f t="shared" si="6"/>
        <v>#DIV/0!</v>
      </c>
      <c r="I25" s="20" t="e">
        <f t="shared" si="7"/>
        <v>#DIV/0!</v>
      </c>
      <c r="J25" s="45" t="e">
        <f t="shared" si="8"/>
        <v>#DIV/0!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09C64-FC07-48F1-A87B-291A0CC5BAEF}">
  <dimension ref="A1:J29"/>
  <sheetViews>
    <sheetView tabSelected="1" workbookViewId="0">
      <selection activeCell="H34" sqref="H34"/>
    </sheetView>
  </sheetViews>
  <sheetFormatPr baseColWidth="10" defaultRowHeight="12.75" x14ac:dyDescent="0.2"/>
  <sheetData>
    <row r="1" spans="1:10" x14ac:dyDescent="0.2">
      <c r="A1" s="33" t="s">
        <v>48</v>
      </c>
    </row>
    <row r="4" spans="1:10" x14ac:dyDescent="0.2">
      <c r="C4" s="2"/>
      <c r="D4" s="2"/>
    </row>
    <row r="5" spans="1:10" x14ac:dyDescent="0.2">
      <c r="B5" s="2" t="s">
        <v>5</v>
      </c>
      <c r="C5" s="36" t="s">
        <v>3</v>
      </c>
      <c r="D5" s="2" t="s">
        <v>80</v>
      </c>
      <c r="F5" s="15"/>
      <c r="G5" s="40"/>
    </row>
    <row r="6" spans="1:10" x14ac:dyDescent="0.2">
      <c r="C6" s="36" t="s">
        <v>72</v>
      </c>
      <c r="D6" s="2">
        <v>0</v>
      </c>
    </row>
    <row r="7" spans="1:10" x14ac:dyDescent="0.2">
      <c r="C7" s="15" t="s">
        <v>73</v>
      </c>
      <c r="D7">
        <v>1</v>
      </c>
    </row>
    <row r="9" spans="1:10" x14ac:dyDescent="0.2">
      <c r="B9" s="34" t="s">
        <v>70</v>
      </c>
      <c r="C9" s="35" t="s">
        <v>62</v>
      </c>
      <c r="D9" s="35" t="s">
        <v>63</v>
      </c>
      <c r="E9" s="35" t="s">
        <v>65</v>
      </c>
      <c r="F9" s="34" t="s">
        <v>71</v>
      </c>
      <c r="G9" s="37" t="s">
        <v>64</v>
      </c>
      <c r="H9" s="37" t="s">
        <v>66</v>
      </c>
      <c r="I9" s="37" t="s">
        <v>67</v>
      </c>
      <c r="J9" s="37" t="s">
        <v>68</v>
      </c>
    </row>
    <row r="10" spans="1:10" x14ac:dyDescent="0.2">
      <c r="B10" s="44">
        <v>1</v>
      </c>
      <c r="C10" s="44">
        <f>D6</f>
        <v>0</v>
      </c>
      <c r="D10" s="44">
        <f>D7</f>
        <v>1</v>
      </c>
      <c r="E10" s="44">
        <f>C10^4 - 2*C10^2 - 5</f>
        <v>-5</v>
      </c>
      <c r="F10" s="44">
        <f>D10^4 - 2*D10^2 - 5</f>
        <v>-6</v>
      </c>
      <c r="G10" s="20">
        <f>D10 - (F10 * (D10 - C10)) / (F10 - E10)</f>
        <v>-5</v>
      </c>
      <c r="H10" s="20">
        <f>G10^4 - 2*G10^2 - 5</f>
        <v>570</v>
      </c>
      <c r="I10" s="20">
        <f>E10*H10</f>
        <v>-2850</v>
      </c>
      <c r="J10" s="20"/>
    </row>
    <row r="11" spans="1:10" x14ac:dyDescent="0.2">
      <c r="B11" s="44">
        <v>2</v>
      </c>
      <c r="C11" s="44">
        <f>IF(I10&lt;0,C10,G10)</f>
        <v>0</v>
      </c>
      <c r="D11" s="44">
        <f>IF(I10&gt;0,D10,G10)</f>
        <v>-5</v>
      </c>
      <c r="E11" s="44">
        <f xml:space="preserve"> COS(C11) -C11</f>
        <v>1</v>
      </c>
      <c r="F11" s="44">
        <f xml:space="preserve"> COS(D11) -D11</f>
        <v>5.2836621854632266</v>
      </c>
      <c r="G11" s="20">
        <f>D11 - (F11 * (D11 - C11)) / (F11 - E11)</f>
        <v>1.167225561569186</v>
      </c>
      <c r="H11" s="20">
        <f xml:space="preserve"> COS(G11) -G11</f>
        <v>-0.77452081629170988</v>
      </c>
      <c r="I11" s="20">
        <f>E11*H11</f>
        <v>-0.77452081629170988</v>
      </c>
      <c r="J11" s="45">
        <f>ABS((G11-G10)/G11*100)</f>
        <v>528.36621854632256</v>
      </c>
    </row>
    <row r="12" spans="1:10" x14ac:dyDescent="0.2">
      <c r="B12" s="44">
        <v>3</v>
      </c>
      <c r="C12" s="44">
        <f t="shared" ref="C12:C25" si="0">IF(I11&lt;0,C11,G11)</f>
        <v>0</v>
      </c>
      <c r="D12" s="44">
        <f t="shared" ref="D12:D25" si="1">IF(I11&gt;0,D11,G11)</f>
        <v>1.167225561569186</v>
      </c>
      <c r="E12" s="44">
        <f t="shared" ref="E12:E25" si="2" xml:space="preserve"> COS(C12) -C12</f>
        <v>1</v>
      </c>
      <c r="F12" s="44">
        <f t="shared" ref="F12:F25" si="3" xml:space="preserve"> COS(D12) -D12</f>
        <v>-0.77452081629170988</v>
      </c>
      <c r="G12" s="20">
        <f t="shared" ref="G12:G25" si="4">D12 - (F12 * (D12 - C12)) / (F12 - E12)</f>
        <v>0.65776943885526562</v>
      </c>
      <c r="H12" s="20">
        <f t="shared" ref="H12:H25" si="5" xml:space="preserve"> COS(G12) -G12</f>
        <v>0.13358842087118528</v>
      </c>
      <c r="I12" s="20">
        <f t="shared" ref="I12:I25" si="6">E12*H12</f>
        <v>0.13358842087118528</v>
      </c>
      <c r="J12" s="45">
        <f t="shared" ref="J12:J25" si="7">ABS((G12-G11)/G12*100)</f>
        <v>77.452081629171005</v>
      </c>
    </row>
    <row r="13" spans="1:10" x14ac:dyDescent="0.2">
      <c r="B13" s="44">
        <v>4</v>
      </c>
      <c r="C13" s="44">
        <f t="shared" si="0"/>
        <v>0.65776943885526562</v>
      </c>
      <c r="D13" s="44">
        <f t="shared" si="1"/>
        <v>1.167225561569186</v>
      </c>
      <c r="E13" s="44">
        <f t="shared" si="2"/>
        <v>0.13358842087118528</v>
      </c>
      <c r="F13" s="44">
        <f t="shared" si="3"/>
        <v>-0.77452081629170988</v>
      </c>
      <c r="G13" s="20">
        <f t="shared" si="4"/>
        <v>0.73271354926772414</v>
      </c>
      <c r="H13" s="20">
        <f t="shared" si="5"/>
        <v>1.0648528200033924E-2</v>
      </c>
      <c r="I13" s="20">
        <f t="shared" si="6"/>
        <v>1.4225200668448168E-3</v>
      </c>
      <c r="J13" s="45">
        <f t="shared" si="7"/>
        <v>10.228295967415624</v>
      </c>
    </row>
    <row r="14" spans="1:10" x14ac:dyDescent="0.2">
      <c r="B14" s="44">
        <v>5</v>
      </c>
      <c r="C14" s="44">
        <f t="shared" si="0"/>
        <v>0.73271354926772414</v>
      </c>
      <c r="D14" s="44">
        <f t="shared" si="1"/>
        <v>1.167225561569186</v>
      </c>
      <c r="E14" s="44">
        <f t="shared" si="2"/>
        <v>1.0648528200033924E-2</v>
      </c>
      <c r="F14" s="44">
        <f t="shared" si="3"/>
        <v>-0.77452081629170988</v>
      </c>
      <c r="G14" s="20">
        <f t="shared" si="4"/>
        <v>0.7386064352402919</v>
      </c>
      <c r="H14" s="20">
        <f t="shared" si="5"/>
        <v>8.0106999544604651E-4</v>
      </c>
      <c r="I14" s="20">
        <f t="shared" si="6"/>
        <v>8.5302164367082737E-6</v>
      </c>
      <c r="J14" s="45">
        <f t="shared" si="7"/>
        <v>0.79783842807308081</v>
      </c>
    </row>
    <row r="15" spans="1:10" x14ac:dyDescent="0.2">
      <c r="B15" s="44">
        <v>6</v>
      </c>
      <c r="C15" s="44">
        <f t="shared" si="0"/>
        <v>0.7386064352402919</v>
      </c>
      <c r="D15" s="44">
        <f t="shared" si="1"/>
        <v>1.167225561569186</v>
      </c>
      <c r="E15" s="44">
        <f t="shared" si="2"/>
        <v>8.0106999544604651E-4</v>
      </c>
      <c r="F15" s="44">
        <f t="shared" si="3"/>
        <v>-0.77452081629170988</v>
      </c>
      <c r="G15" s="20">
        <f t="shared" si="4"/>
        <v>0.73904928862499464</v>
      </c>
      <c r="H15" s="20">
        <f t="shared" si="5"/>
        <v>5.9989462476650601E-5</v>
      </c>
      <c r="I15" s="20">
        <f t="shared" si="6"/>
        <v>4.8055758432981272E-8</v>
      </c>
      <c r="J15" s="45">
        <f t="shared" si="7"/>
        <v>5.9922036529751102E-2</v>
      </c>
    </row>
    <row r="16" spans="1:10" x14ac:dyDescent="0.2">
      <c r="B16" s="44">
        <v>7</v>
      </c>
      <c r="C16" s="44">
        <f t="shared" si="0"/>
        <v>0.73904928862499464</v>
      </c>
      <c r="D16" s="44">
        <f t="shared" si="1"/>
        <v>1.167225561569186</v>
      </c>
      <c r="E16" s="44">
        <f t="shared" si="2"/>
        <v>5.9989462476650601E-5</v>
      </c>
      <c r="F16" s="44">
        <f t="shared" si="3"/>
        <v>-0.77452081629170988</v>
      </c>
      <c r="G16" s="20">
        <f t="shared" si="4"/>
        <v>0.73908244987075289</v>
      </c>
      <c r="H16" s="20">
        <f t="shared" si="5"/>
        <v>4.4908748184635527E-6</v>
      </c>
      <c r="I16" s="20">
        <f t="shared" si="6"/>
        <v>2.6940516640955435E-10</v>
      </c>
      <c r="J16" s="45">
        <f t="shared" si="7"/>
        <v>4.4868127722488783E-3</v>
      </c>
    </row>
    <row r="17" spans="2:10" x14ac:dyDescent="0.2">
      <c r="B17" s="44">
        <v>8</v>
      </c>
      <c r="C17" s="44">
        <f t="shared" si="0"/>
        <v>0.73908244987075289</v>
      </c>
      <c r="D17" s="44">
        <f t="shared" si="1"/>
        <v>1.167225561569186</v>
      </c>
      <c r="E17" s="44">
        <f t="shared" si="2"/>
        <v>4.4908748184635527E-6</v>
      </c>
      <c r="F17" s="44">
        <f t="shared" si="3"/>
        <v>-0.77452081629170988</v>
      </c>
      <c r="G17" s="20">
        <f t="shared" si="4"/>
        <v>0.73908493234240513</v>
      </c>
      <c r="H17" s="20">
        <f t="shared" si="5"/>
        <v>3.3618304506877195E-7</v>
      </c>
      <c r="I17" s="20">
        <f t="shared" si="6"/>
        <v>1.5097559714937455E-12</v>
      </c>
      <c r="J17" s="45">
        <f t="shared" si="7"/>
        <v>3.358844895369953E-4</v>
      </c>
    </row>
    <row r="18" spans="2:10" x14ac:dyDescent="0.2">
      <c r="B18" s="44">
        <v>9</v>
      </c>
      <c r="C18" s="44">
        <f t="shared" si="0"/>
        <v>0.73908493234240513</v>
      </c>
      <c r="D18" s="44">
        <f t="shared" si="1"/>
        <v>1.167225561569186</v>
      </c>
      <c r="E18" s="44">
        <f t="shared" si="2"/>
        <v>3.3618304506877195E-7</v>
      </c>
      <c r="F18" s="44">
        <f t="shared" si="3"/>
        <v>-0.77452081629170988</v>
      </c>
      <c r="G18" s="20">
        <f t="shared" si="4"/>
        <v>0.73908511817802758</v>
      </c>
      <c r="H18" s="20">
        <f t="shared" si="5"/>
        <v>2.5166326689252116E-8</v>
      </c>
      <c r="I18" s="20">
        <f t="shared" si="6"/>
        <v>8.4604923395882832E-15</v>
      </c>
      <c r="J18" s="45">
        <f t="shared" si="7"/>
        <v>2.5144008162973649E-5</v>
      </c>
    </row>
    <row r="19" spans="2:10" x14ac:dyDescent="0.2">
      <c r="B19" s="44">
        <v>10</v>
      </c>
      <c r="C19" s="44">
        <f t="shared" si="0"/>
        <v>0.73908511817802758</v>
      </c>
      <c r="D19" s="44">
        <f t="shared" si="1"/>
        <v>1.167225561569186</v>
      </c>
      <c r="E19" s="44">
        <f t="shared" si="2"/>
        <v>2.5166326689252116E-8</v>
      </c>
      <c r="F19" s="44">
        <f t="shared" si="3"/>
        <v>-0.77452081629170988</v>
      </c>
      <c r="G19" s="20">
        <f t="shared" si="4"/>
        <v>0.739085132089496</v>
      </c>
      <c r="H19" s="20">
        <f t="shared" si="5"/>
        <v>1.883925904166972E-9</v>
      </c>
      <c r="I19" s="20">
        <f t="shared" si="6"/>
        <v>4.7411494762610693E-17</v>
      </c>
      <c r="J19" s="45">
        <f t="shared" si="7"/>
        <v>1.8822552122430412E-6</v>
      </c>
    </row>
    <row r="20" spans="2:10" x14ac:dyDescent="0.2">
      <c r="B20" s="44">
        <v>11</v>
      </c>
      <c r="C20" s="46">
        <f t="shared" si="0"/>
        <v>0.739085132089496</v>
      </c>
      <c r="D20" s="46">
        <f t="shared" si="1"/>
        <v>1.167225561569186</v>
      </c>
      <c r="E20" s="46">
        <f t="shared" si="2"/>
        <v>1.883925904166972E-9</v>
      </c>
      <c r="F20" s="46">
        <f t="shared" si="3"/>
        <v>-0.77452081629170988</v>
      </c>
      <c r="G20" s="28">
        <f t="shared" si="4"/>
        <v>0.73908513313089452</v>
      </c>
      <c r="H20" s="28">
        <f t="shared" si="5"/>
        <v>1.4102874423826961E-10</v>
      </c>
      <c r="I20" s="28">
        <f t="shared" si="6"/>
        <v>2.6568770450261472E-19</v>
      </c>
      <c r="J20" s="47">
        <f t="shared" si="7"/>
        <v>1.4090373034027307E-7</v>
      </c>
    </row>
    <row r="21" spans="2:10" x14ac:dyDescent="0.2">
      <c r="B21" s="44">
        <v>12</v>
      </c>
      <c r="C21" s="44">
        <f t="shared" si="0"/>
        <v>0.73908513313089452</v>
      </c>
      <c r="D21" s="44">
        <f t="shared" si="1"/>
        <v>1.167225561569186</v>
      </c>
      <c r="E21" s="44">
        <f t="shared" si="2"/>
        <v>1.4102874423826961E-10</v>
      </c>
      <c r="F21" s="44">
        <f t="shared" si="3"/>
        <v>-0.77452081629170988</v>
      </c>
      <c r="G21" s="20">
        <f t="shared" si="4"/>
        <v>0.7390851332088525</v>
      </c>
      <c r="H21" s="20">
        <f t="shared" si="5"/>
        <v>1.0557443808068001E-11</v>
      </c>
      <c r="I21" s="20">
        <f t="shared" si="6"/>
        <v>1.4889030426179253E-21</v>
      </c>
      <c r="J21" s="45">
        <f t="shared" si="7"/>
        <v>1.0547901710804277E-8</v>
      </c>
    </row>
    <row r="22" spans="2:10" x14ac:dyDescent="0.2">
      <c r="B22" s="44">
        <v>13</v>
      </c>
      <c r="C22" s="44">
        <f t="shared" si="0"/>
        <v>0.7390851332088525</v>
      </c>
      <c r="D22" s="44">
        <f t="shared" si="1"/>
        <v>1.167225561569186</v>
      </c>
      <c r="E22" s="44">
        <f t="shared" si="2"/>
        <v>1.0557443808068001E-11</v>
      </c>
      <c r="F22" s="44">
        <f t="shared" si="3"/>
        <v>-0.77452081629170988</v>
      </c>
      <c r="G22" s="20">
        <f t="shared" si="4"/>
        <v>0.73908513321468838</v>
      </c>
      <c r="H22" s="20">
        <f t="shared" si="5"/>
        <v>7.9036777123064894E-13</v>
      </c>
      <c r="I22" s="20">
        <f t="shared" si="6"/>
        <v>8.3442633324755211E-24</v>
      </c>
      <c r="J22" s="45">
        <f t="shared" si="7"/>
        <v>7.8960962231220193E-10</v>
      </c>
    </row>
    <row r="23" spans="2:10" x14ac:dyDescent="0.2">
      <c r="B23" s="44">
        <v>14</v>
      </c>
      <c r="C23" s="44">
        <f t="shared" si="0"/>
        <v>0.73908513321468838</v>
      </c>
      <c r="D23" s="44">
        <f t="shared" si="1"/>
        <v>1.167225561569186</v>
      </c>
      <c r="E23" s="44">
        <f t="shared" si="2"/>
        <v>7.9036777123064894E-13</v>
      </c>
      <c r="F23" s="44">
        <f t="shared" si="3"/>
        <v>-0.77452081629170988</v>
      </c>
      <c r="G23" s="20">
        <f t="shared" si="4"/>
        <v>0.73908513321512526</v>
      </c>
      <c r="H23" s="20">
        <f t="shared" si="5"/>
        <v>5.9174887212520844E-14</v>
      </c>
      <c r="I23" s="20">
        <f t="shared" si="6"/>
        <v>4.6769923718985128E-26</v>
      </c>
      <c r="J23" s="45">
        <f t="shared" si="7"/>
        <v>5.9109937483052952E-11</v>
      </c>
    </row>
    <row r="24" spans="2:10" x14ac:dyDescent="0.2">
      <c r="B24" s="44">
        <v>15</v>
      </c>
      <c r="C24" s="44">
        <f t="shared" si="0"/>
        <v>0.73908513321512526</v>
      </c>
      <c r="D24" s="44">
        <f t="shared" si="1"/>
        <v>1.167225561569186</v>
      </c>
      <c r="E24" s="44">
        <f t="shared" si="2"/>
        <v>5.9174887212520844E-14</v>
      </c>
      <c r="F24" s="44">
        <f t="shared" si="3"/>
        <v>-0.77452081629170988</v>
      </c>
      <c r="G24" s="20">
        <f t="shared" si="4"/>
        <v>0.73908513321515801</v>
      </c>
      <c r="H24" s="20">
        <f t="shared" si="5"/>
        <v>4.4408920985006262E-15</v>
      </c>
      <c r="I24" s="20">
        <f t="shared" si="6"/>
        <v>2.6278928905174956E-28</v>
      </c>
      <c r="J24" s="45">
        <f t="shared" si="7"/>
        <v>4.4313676130876361E-12</v>
      </c>
    </row>
    <row r="25" spans="2:10" x14ac:dyDescent="0.2">
      <c r="B25" s="44">
        <v>16</v>
      </c>
      <c r="C25" s="44">
        <f t="shared" si="0"/>
        <v>0.73908513321515801</v>
      </c>
      <c r="D25" s="44">
        <f t="shared" si="1"/>
        <v>1.167225561569186</v>
      </c>
      <c r="E25" s="44">
        <f t="shared" si="2"/>
        <v>4.4408920985006262E-15</v>
      </c>
      <c r="F25" s="44">
        <f t="shared" si="3"/>
        <v>-0.77452081629170988</v>
      </c>
      <c r="G25" s="20">
        <f t="shared" si="4"/>
        <v>0.73908513321516045</v>
      </c>
      <c r="H25" s="20">
        <f t="shared" si="5"/>
        <v>0</v>
      </c>
      <c r="I25" s="20">
        <f t="shared" si="6"/>
        <v>0</v>
      </c>
      <c r="J25" s="45">
        <f t="shared" si="7"/>
        <v>3.3047487284043275E-13</v>
      </c>
    </row>
    <row r="29" spans="2:10" x14ac:dyDescent="0.2">
      <c r="C29" s="48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Metodo de Newthon</vt:lpstr>
      <vt:lpstr>Newthon ejem(1)</vt:lpstr>
      <vt:lpstr>Newthon ejem(2)</vt:lpstr>
      <vt:lpstr>Newthon ejem(3)</vt:lpstr>
      <vt:lpstr>Newthon ejem(4)</vt:lpstr>
      <vt:lpstr>Newthon ejem(5)</vt:lpstr>
      <vt:lpstr>Metodo de Bisección1</vt:lpstr>
      <vt:lpstr>Metodo de Bisección2</vt:lpstr>
      <vt:lpstr>Metodo de Bisección3</vt:lpstr>
      <vt:lpstr>Metodo de Bisección4</vt:lpstr>
      <vt:lpstr>Metodo de Bisección5</vt:lpstr>
      <vt:lpstr>Metodo de Regla Falsa1</vt:lpstr>
      <vt:lpstr>Metodo de Regla Falsa2</vt:lpstr>
      <vt:lpstr>Metodo de Regla Falsa3</vt:lpstr>
      <vt:lpstr>Metodo de Regla Falsa4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Vargas</dc:creator>
  <cp:lastModifiedBy>Dario Vargas</cp:lastModifiedBy>
  <dcterms:created xsi:type="dcterms:W3CDTF">2026-02-27T18:45:54Z</dcterms:created>
  <dcterms:modified xsi:type="dcterms:W3CDTF">2026-02-27T19:21:29Z</dcterms:modified>
</cp:coreProperties>
</file>